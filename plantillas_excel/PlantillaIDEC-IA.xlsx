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aneacionnacional-my.sharepoint.com/personal/dianaramirez_dnp_gov_co/Documents/Grupo Infraestructura de Datos/Plan de Acción/Plan de Acción 2025/Noviembre/insumos_Flujo_Chatbot IA/"/>
    </mc:Choice>
  </mc:AlternateContent>
  <xr:revisionPtr revIDLastSave="595" documentId="13_ncr:1_{DAFA64F1-4505-4964-99B9-6B2B1376A33E}" xr6:coauthVersionLast="47" xr6:coauthVersionMax="47" xr10:uidLastSave="{B52A7C1A-7E79-45CB-BCA1-5B3193E0F3FE}"/>
  <bookViews>
    <workbookView xWindow="-107" yWindow="-107" windowWidth="20847" windowHeight="11111" firstSheet="5" activeTab="12" xr2:uid="{275B1A3E-D0FD-401E-AFC6-3590DDABD8A3}"/>
  </bookViews>
  <sheets>
    <sheet name="IDEC-1-Gobernanza" sheetId="1" r:id="rId1"/>
    <sheet name="IDEC-2-Herram_TecyTec" sheetId="18" r:id="rId2"/>
    <sheet name="IDEC-3-Interoperabilidad" sheetId="24" r:id="rId3"/>
    <sheet name="IDEC-4-Seguridad y privacidad" sheetId="25" r:id="rId4"/>
    <sheet name="IDEC-5-Datos" sheetId="26" r:id="rId5"/>
    <sheet name="IDEC-6-Aprovechamiento_de_datos" sheetId="27" r:id="rId6"/>
    <sheet name="IA-1-ChipSet" sheetId="28" r:id="rId7"/>
    <sheet name="IA-2-Productos" sheetId="29" r:id="rId8"/>
    <sheet name="IA-3-Entrenamiento" sheetId="30" r:id="rId9"/>
    <sheet name="IA-4-Ejecución" sheetId="31" r:id="rId10"/>
    <sheet name="IA-5-Aplicaciones" sheetId="32" r:id="rId11"/>
    <sheet name="IA-6-Servicios" sheetId="33" r:id="rId12"/>
    <sheet name="IA-7-Gobernanza" sheetId="3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5" i="34" l="1"/>
  <c r="J65" i="34"/>
  <c r="V64" i="34"/>
  <c r="J64" i="34"/>
  <c r="V63" i="34"/>
  <c r="J63" i="34"/>
  <c r="V62" i="34"/>
  <c r="J62" i="34"/>
  <c r="V61" i="34"/>
  <c r="J61" i="34"/>
  <c r="V60" i="34"/>
  <c r="J60" i="34"/>
  <c r="V59" i="34"/>
  <c r="J59" i="34"/>
  <c r="V58" i="34"/>
  <c r="J58" i="34"/>
  <c r="V57" i="34"/>
  <c r="J57" i="34"/>
  <c r="V56" i="34"/>
  <c r="J56" i="34"/>
  <c r="V55" i="34"/>
  <c r="J55" i="34"/>
  <c r="V54" i="34"/>
  <c r="J54" i="34"/>
  <c r="V53" i="34"/>
  <c r="J53" i="34"/>
  <c r="V52" i="34"/>
  <c r="J52" i="34"/>
  <c r="V51" i="34"/>
  <c r="R51" i="34"/>
  <c r="J51" i="34"/>
  <c r="F51" i="34"/>
  <c r="V50" i="34"/>
  <c r="R50" i="34"/>
  <c r="J50" i="34"/>
  <c r="F50" i="34"/>
  <c r="V49" i="34"/>
  <c r="R49" i="34"/>
  <c r="J49" i="34"/>
  <c r="F49" i="34"/>
  <c r="V48" i="34"/>
  <c r="R48" i="34"/>
  <c r="J48" i="34"/>
  <c r="F48" i="34"/>
  <c r="V47" i="34"/>
  <c r="R47" i="34"/>
  <c r="J47" i="34"/>
  <c r="F47" i="34"/>
  <c r="R46" i="34"/>
  <c r="J46" i="34"/>
  <c r="F46" i="34"/>
  <c r="R45" i="34"/>
  <c r="J45" i="34"/>
  <c r="F45" i="34"/>
  <c r="R44" i="34"/>
  <c r="J44" i="34"/>
  <c r="F44" i="34"/>
  <c r="R43" i="34"/>
  <c r="J43" i="34"/>
  <c r="F43" i="34"/>
  <c r="R42" i="34"/>
  <c r="J42" i="34"/>
  <c r="F42" i="34"/>
  <c r="R41" i="34"/>
  <c r="J41" i="34"/>
  <c r="F41" i="34"/>
  <c r="R40" i="34"/>
  <c r="J40" i="34"/>
  <c r="F40" i="34"/>
  <c r="R39" i="34"/>
  <c r="J39" i="34"/>
  <c r="F39" i="34"/>
  <c r="R38" i="34"/>
  <c r="J38" i="34"/>
  <c r="F38" i="34"/>
  <c r="R37" i="34"/>
  <c r="J37" i="34"/>
  <c r="F37" i="34"/>
  <c r="R36" i="34"/>
  <c r="J36" i="34"/>
  <c r="F36" i="34"/>
  <c r="R35" i="34"/>
  <c r="J35" i="34"/>
  <c r="F35" i="34"/>
  <c r="R34" i="34"/>
  <c r="J34" i="34"/>
  <c r="F34" i="34"/>
  <c r="R33" i="34"/>
  <c r="J33" i="34"/>
  <c r="F33" i="34"/>
  <c r="R32" i="34"/>
  <c r="J32" i="34"/>
  <c r="F32" i="34"/>
  <c r="R31" i="34"/>
  <c r="J31" i="34"/>
  <c r="F31" i="34"/>
  <c r="R30" i="34"/>
  <c r="J30" i="34"/>
  <c r="F30" i="34"/>
  <c r="R29" i="34"/>
  <c r="J29" i="34"/>
  <c r="F29" i="34"/>
  <c r="R28" i="34"/>
  <c r="J28" i="34"/>
  <c r="F28" i="34"/>
  <c r="R27" i="34"/>
  <c r="J27" i="34"/>
  <c r="F27" i="34"/>
  <c r="R26" i="34"/>
  <c r="J26" i="34"/>
  <c r="F26" i="34"/>
  <c r="R25" i="34"/>
  <c r="J25" i="34"/>
  <c r="F25" i="34"/>
  <c r="R24" i="34"/>
  <c r="J24" i="34"/>
  <c r="F24" i="34"/>
  <c r="R23" i="34"/>
  <c r="J23" i="34"/>
  <c r="F23" i="34"/>
  <c r="V22" i="34"/>
  <c r="R22" i="34"/>
  <c r="J22" i="34"/>
  <c r="F22" i="34"/>
  <c r="V21" i="34"/>
  <c r="R21" i="34"/>
  <c r="J21" i="34"/>
  <c r="F21" i="34"/>
  <c r="V20" i="34"/>
  <c r="R20" i="34"/>
  <c r="J20" i="34"/>
  <c r="F20" i="34"/>
  <c r="V19" i="34"/>
  <c r="R19" i="34"/>
  <c r="J19" i="34"/>
  <c r="F19" i="34"/>
  <c r="V18" i="34"/>
  <c r="R18" i="34"/>
  <c r="J18" i="34"/>
  <c r="F18" i="34"/>
  <c r="V17" i="34"/>
  <c r="R17" i="34"/>
  <c r="J17" i="34"/>
  <c r="F17" i="34"/>
  <c r="V16" i="34"/>
  <c r="R16" i="34"/>
  <c r="J16" i="34"/>
  <c r="F16" i="34"/>
  <c r="V15" i="34"/>
  <c r="R15" i="34"/>
  <c r="J15" i="34"/>
  <c r="F15" i="34"/>
  <c r="V14" i="34"/>
  <c r="R14" i="34"/>
  <c r="J14" i="34"/>
  <c r="F14" i="34"/>
  <c r="V13" i="34"/>
  <c r="R13" i="34"/>
  <c r="J13" i="34"/>
  <c r="F13" i="34"/>
  <c r="V12" i="34"/>
  <c r="R12" i="34"/>
  <c r="M12" i="34"/>
  <c r="J12" i="34"/>
  <c r="F12" i="34"/>
  <c r="A12" i="34"/>
  <c r="V11" i="34"/>
  <c r="R11" i="34"/>
  <c r="M11" i="34"/>
  <c r="J11" i="34"/>
  <c r="F11" i="34"/>
  <c r="A11" i="34"/>
  <c r="V10" i="34"/>
  <c r="R10" i="34"/>
  <c r="M10" i="34"/>
  <c r="J10" i="34"/>
  <c r="F10" i="34"/>
  <c r="A10" i="34"/>
  <c r="V9" i="34"/>
  <c r="R9" i="34"/>
  <c r="M9" i="34"/>
  <c r="J9" i="34"/>
  <c r="F9" i="34"/>
  <c r="A9" i="34"/>
  <c r="V8" i="34"/>
  <c r="R8" i="34"/>
  <c r="M8" i="34"/>
  <c r="J8" i="34"/>
  <c r="F8" i="34"/>
  <c r="A8" i="34"/>
  <c r="V7" i="34"/>
  <c r="R7" i="34"/>
  <c r="M7" i="34"/>
  <c r="J7" i="34"/>
  <c r="F7" i="34"/>
  <c r="A7" i="34"/>
  <c r="V6" i="34"/>
  <c r="R6" i="34"/>
  <c r="M6" i="34"/>
  <c r="J6" i="34"/>
  <c r="F6" i="34"/>
  <c r="A6" i="34"/>
  <c r="V5" i="34"/>
  <c r="R5" i="34"/>
  <c r="M5" i="34"/>
  <c r="J5" i="34"/>
  <c r="F5" i="34"/>
  <c r="A5" i="34"/>
  <c r="V4" i="34"/>
  <c r="R4" i="34"/>
  <c r="M4" i="34"/>
  <c r="J4" i="34"/>
  <c r="F4" i="34"/>
  <c r="A4" i="34"/>
  <c r="V3" i="34"/>
  <c r="R3" i="34"/>
  <c r="M3" i="34"/>
  <c r="J3" i="34"/>
  <c r="F3" i="34"/>
  <c r="A3" i="34"/>
  <c r="V65" i="33"/>
  <c r="J65" i="33"/>
  <c r="V64" i="33"/>
  <c r="J64" i="33"/>
  <c r="V63" i="33"/>
  <c r="J63" i="33"/>
  <c r="V62" i="33"/>
  <c r="J62" i="33"/>
  <c r="V61" i="33"/>
  <c r="J61" i="33"/>
  <c r="V60" i="33"/>
  <c r="J60" i="33"/>
  <c r="V59" i="33"/>
  <c r="J59" i="33"/>
  <c r="V58" i="33"/>
  <c r="J58" i="33"/>
  <c r="V57" i="33"/>
  <c r="J57" i="33"/>
  <c r="V56" i="33"/>
  <c r="J56" i="33"/>
  <c r="V55" i="33"/>
  <c r="J55" i="33"/>
  <c r="V54" i="33"/>
  <c r="J54" i="33"/>
  <c r="V53" i="33"/>
  <c r="J53" i="33"/>
  <c r="V52" i="33"/>
  <c r="J52" i="33"/>
  <c r="V51" i="33"/>
  <c r="R51" i="33"/>
  <c r="J51" i="33"/>
  <c r="F51" i="33"/>
  <c r="V50" i="33"/>
  <c r="R50" i="33"/>
  <c r="J50" i="33"/>
  <c r="F50" i="33"/>
  <c r="V49" i="33"/>
  <c r="R49" i="33"/>
  <c r="J49" i="33"/>
  <c r="F49" i="33"/>
  <c r="V48" i="33"/>
  <c r="R48" i="33"/>
  <c r="J48" i="33"/>
  <c r="F48" i="33"/>
  <c r="V47" i="33"/>
  <c r="R47" i="33"/>
  <c r="J47" i="33"/>
  <c r="F47" i="33"/>
  <c r="R46" i="33"/>
  <c r="J46" i="33"/>
  <c r="F46" i="33"/>
  <c r="R45" i="33"/>
  <c r="J45" i="33"/>
  <c r="F45" i="33"/>
  <c r="R44" i="33"/>
  <c r="J44" i="33"/>
  <c r="F44" i="33"/>
  <c r="R43" i="33"/>
  <c r="J43" i="33"/>
  <c r="F43" i="33"/>
  <c r="R42" i="33"/>
  <c r="J42" i="33"/>
  <c r="F42" i="33"/>
  <c r="R41" i="33"/>
  <c r="J41" i="33"/>
  <c r="F41" i="33"/>
  <c r="R40" i="33"/>
  <c r="J40" i="33"/>
  <c r="F40" i="33"/>
  <c r="R39" i="33"/>
  <c r="J39" i="33"/>
  <c r="F39" i="33"/>
  <c r="R38" i="33"/>
  <c r="J38" i="33"/>
  <c r="F38" i="33"/>
  <c r="R37" i="33"/>
  <c r="J37" i="33"/>
  <c r="F37" i="33"/>
  <c r="R36" i="33"/>
  <c r="J36" i="33"/>
  <c r="F36" i="33"/>
  <c r="R35" i="33"/>
  <c r="J35" i="33"/>
  <c r="F35" i="33"/>
  <c r="R34" i="33"/>
  <c r="J34" i="33"/>
  <c r="F34" i="33"/>
  <c r="R33" i="33"/>
  <c r="J33" i="33"/>
  <c r="F33" i="33"/>
  <c r="R32" i="33"/>
  <c r="J32" i="33"/>
  <c r="F32" i="33"/>
  <c r="R31" i="33"/>
  <c r="J31" i="33"/>
  <c r="F31" i="33"/>
  <c r="R30" i="33"/>
  <c r="J30" i="33"/>
  <c r="F30" i="33"/>
  <c r="R29" i="33"/>
  <c r="J29" i="33"/>
  <c r="F29" i="33"/>
  <c r="R28" i="33"/>
  <c r="J28" i="33"/>
  <c r="F28" i="33"/>
  <c r="R27" i="33"/>
  <c r="J27" i="33"/>
  <c r="F27" i="33"/>
  <c r="R26" i="33"/>
  <c r="J26" i="33"/>
  <c r="F26" i="33"/>
  <c r="R25" i="33"/>
  <c r="J25" i="33"/>
  <c r="F25" i="33"/>
  <c r="R24" i="33"/>
  <c r="J24" i="33"/>
  <c r="F24" i="33"/>
  <c r="R23" i="33"/>
  <c r="J23" i="33"/>
  <c r="F23" i="33"/>
  <c r="V22" i="33"/>
  <c r="R22" i="33"/>
  <c r="J22" i="33"/>
  <c r="F22" i="33"/>
  <c r="V21" i="33"/>
  <c r="R21" i="33"/>
  <c r="J21" i="33"/>
  <c r="F21" i="33"/>
  <c r="V20" i="33"/>
  <c r="R20" i="33"/>
  <c r="J20" i="33"/>
  <c r="F20" i="33"/>
  <c r="V19" i="33"/>
  <c r="R19" i="33"/>
  <c r="J19" i="33"/>
  <c r="F19" i="33"/>
  <c r="V18" i="33"/>
  <c r="R18" i="33"/>
  <c r="J18" i="33"/>
  <c r="F18" i="33"/>
  <c r="V17" i="33"/>
  <c r="R17" i="33"/>
  <c r="J17" i="33"/>
  <c r="F17" i="33"/>
  <c r="V16" i="33"/>
  <c r="R16" i="33"/>
  <c r="J16" i="33"/>
  <c r="F16" i="33"/>
  <c r="V15" i="33"/>
  <c r="R15" i="33"/>
  <c r="J15" i="33"/>
  <c r="F15" i="33"/>
  <c r="V14" i="33"/>
  <c r="R14" i="33"/>
  <c r="J14" i="33"/>
  <c r="F14" i="33"/>
  <c r="V13" i="33"/>
  <c r="R13" i="33"/>
  <c r="J13" i="33"/>
  <c r="F13" i="33"/>
  <c r="V12" i="33"/>
  <c r="R12" i="33"/>
  <c r="M12" i="33"/>
  <c r="J12" i="33"/>
  <c r="F12" i="33"/>
  <c r="A12" i="33"/>
  <c r="V11" i="33"/>
  <c r="R11" i="33"/>
  <c r="M11" i="33"/>
  <c r="J11" i="33"/>
  <c r="F11" i="33"/>
  <c r="A11" i="33"/>
  <c r="V10" i="33"/>
  <c r="R10" i="33"/>
  <c r="M10" i="33"/>
  <c r="J10" i="33"/>
  <c r="F10" i="33"/>
  <c r="A10" i="33"/>
  <c r="V9" i="33"/>
  <c r="R9" i="33"/>
  <c r="M9" i="33"/>
  <c r="J9" i="33"/>
  <c r="F9" i="33"/>
  <c r="A9" i="33"/>
  <c r="V8" i="33"/>
  <c r="R8" i="33"/>
  <c r="M8" i="33"/>
  <c r="J8" i="33"/>
  <c r="F8" i="33"/>
  <c r="A8" i="33"/>
  <c r="V7" i="33"/>
  <c r="R7" i="33"/>
  <c r="M7" i="33"/>
  <c r="J7" i="33"/>
  <c r="F7" i="33"/>
  <c r="A7" i="33"/>
  <c r="V6" i="33"/>
  <c r="R6" i="33"/>
  <c r="M6" i="33"/>
  <c r="J6" i="33"/>
  <c r="F6" i="33"/>
  <c r="A6" i="33"/>
  <c r="V5" i="33"/>
  <c r="R5" i="33"/>
  <c r="M5" i="33"/>
  <c r="J5" i="33"/>
  <c r="F5" i="33"/>
  <c r="A5" i="33"/>
  <c r="V4" i="33"/>
  <c r="R4" i="33"/>
  <c r="M4" i="33"/>
  <c r="J4" i="33"/>
  <c r="F4" i="33"/>
  <c r="A4" i="33"/>
  <c r="V3" i="33"/>
  <c r="R3" i="33"/>
  <c r="M3" i="33"/>
  <c r="J3" i="33"/>
  <c r="F3" i="33"/>
  <c r="A3" i="33"/>
  <c r="V65" i="32"/>
  <c r="J65" i="32"/>
  <c r="V64" i="32"/>
  <c r="J64" i="32"/>
  <c r="V63" i="32"/>
  <c r="J63" i="32"/>
  <c r="V62" i="32"/>
  <c r="J62" i="32"/>
  <c r="V61" i="32"/>
  <c r="J61" i="32"/>
  <c r="V60" i="32"/>
  <c r="J60" i="32"/>
  <c r="V59" i="32"/>
  <c r="J59" i="32"/>
  <c r="V58" i="32"/>
  <c r="J58" i="32"/>
  <c r="V57" i="32"/>
  <c r="J57" i="32"/>
  <c r="V56" i="32"/>
  <c r="J56" i="32"/>
  <c r="V55" i="32"/>
  <c r="J55" i="32"/>
  <c r="V54" i="32"/>
  <c r="J54" i="32"/>
  <c r="V53" i="32"/>
  <c r="J53" i="32"/>
  <c r="V52" i="32"/>
  <c r="J52" i="32"/>
  <c r="V51" i="32"/>
  <c r="R51" i="32"/>
  <c r="J51" i="32"/>
  <c r="F51" i="32"/>
  <c r="V50" i="32"/>
  <c r="R50" i="32"/>
  <c r="J50" i="32"/>
  <c r="F50" i="32"/>
  <c r="V49" i="32"/>
  <c r="R49" i="32"/>
  <c r="J49" i="32"/>
  <c r="F49" i="32"/>
  <c r="V48" i="32"/>
  <c r="R48" i="32"/>
  <c r="J48" i="32"/>
  <c r="F48" i="32"/>
  <c r="V47" i="32"/>
  <c r="R47" i="32"/>
  <c r="J47" i="32"/>
  <c r="F47" i="32"/>
  <c r="R46" i="32"/>
  <c r="J46" i="32"/>
  <c r="F46" i="32"/>
  <c r="R45" i="32"/>
  <c r="J45" i="32"/>
  <c r="F45" i="32"/>
  <c r="R44" i="32"/>
  <c r="J44" i="32"/>
  <c r="F44" i="32"/>
  <c r="R43" i="32"/>
  <c r="J43" i="32"/>
  <c r="F43" i="32"/>
  <c r="R42" i="32"/>
  <c r="J42" i="32"/>
  <c r="F42" i="32"/>
  <c r="R41" i="32"/>
  <c r="J41" i="32"/>
  <c r="F41" i="32"/>
  <c r="R40" i="32"/>
  <c r="J40" i="32"/>
  <c r="F40" i="32"/>
  <c r="R39" i="32"/>
  <c r="J39" i="32"/>
  <c r="F39" i="32"/>
  <c r="R38" i="32"/>
  <c r="J38" i="32"/>
  <c r="F38" i="32"/>
  <c r="R37" i="32"/>
  <c r="J37" i="32"/>
  <c r="F37" i="32"/>
  <c r="R36" i="32"/>
  <c r="J36" i="32"/>
  <c r="F36" i="32"/>
  <c r="R35" i="32"/>
  <c r="J35" i="32"/>
  <c r="F35" i="32"/>
  <c r="R34" i="32"/>
  <c r="J34" i="32"/>
  <c r="F34" i="32"/>
  <c r="R33" i="32"/>
  <c r="J33" i="32"/>
  <c r="F33" i="32"/>
  <c r="R32" i="32"/>
  <c r="J32" i="32"/>
  <c r="F32" i="32"/>
  <c r="R31" i="32"/>
  <c r="J31" i="32"/>
  <c r="F31" i="32"/>
  <c r="R30" i="32"/>
  <c r="J30" i="32"/>
  <c r="F30" i="32"/>
  <c r="R29" i="32"/>
  <c r="J29" i="32"/>
  <c r="F29" i="32"/>
  <c r="R28" i="32"/>
  <c r="J28" i="32"/>
  <c r="F28" i="32"/>
  <c r="R27" i="32"/>
  <c r="J27" i="32"/>
  <c r="F27" i="32"/>
  <c r="R26" i="32"/>
  <c r="J26" i="32"/>
  <c r="F26" i="32"/>
  <c r="R25" i="32"/>
  <c r="J25" i="32"/>
  <c r="F25" i="32"/>
  <c r="R24" i="32"/>
  <c r="J24" i="32"/>
  <c r="F24" i="32"/>
  <c r="R23" i="32"/>
  <c r="J23" i="32"/>
  <c r="F23" i="32"/>
  <c r="V22" i="32"/>
  <c r="R22" i="32"/>
  <c r="J22" i="32"/>
  <c r="F22" i="32"/>
  <c r="V21" i="32"/>
  <c r="R21" i="32"/>
  <c r="J21" i="32"/>
  <c r="F21" i="32"/>
  <c r="V20" i="32"/>
  <c r="R20" i="32"/>
  <c r="J20" i="32"/>
  <c r="F20" i="32"/>
  <c r="V19" i="32"/>
  <c r="R19" i="32"/>
  <c r="J19" i="32"/>
  <c r="F19" i="32"/>
  <c r="V18" i="32"/>
  <c r="R18" i="32"/>
  <c r="J18" i="32"/>
  <c r="F18" i="32"/>
  <c r="V17" i="32"/>
  <c r="R17" i="32"/>
  <c r="J17" i="32"/>
  <c r="F17" i="32"/>
  <c r="V16" i="32"/>
  <c r="R16" i="32"/>
  <c r="J16" i="32"/>
  <c r="F16" i="32"/>
  <c r="V15" i="32"/>
  <c r="R15" i="32"/>
  <c r="J15" i="32"/>
  <c r="F15" i="32"/>
  <c r="V14" i="32"/>
  <c r="R14" i="32"/>
  <c r="J14" i="32"/>
  <c r="F14" i="32"/>
  <c r="V13" i="32"/>
  <c r="R13" i="32"/>
  <c r="J13" i="32"/>
  <c r="F13" i="32"/>
  <c r="V12" i="32"/>
  <c r="R12" i="32"/>
  <c r="M12" i="32"/>
  <c r="J12" i="32"/>
  <c r="F12" i="32"/>
  <c r="A12" i="32"/>
  <c r="V11" i="32"/>
  <c r="R11" i="32"/>
  <c r="M11" i="32"/>
  <c r="J11" i="32"/>
  <c r="F11" i="32"/>
  <c r="A11" i="32"/>
  <c r="V10" i="32"/>
  <c r="R10" i="32"/>
  <c r="M10" i="32"/>
  <c r="J10" i="32"/>
  <c r="F10" i="32"/>
  <c r="A10" i="32"/>
  <c r="V9" i="32"/>
  <c r="R9" i="32"/>
  <c r="M9" i="32"/>
  <c r="J9" i="32"/>
  <c r="F9" i="32"/>
  <c r="A9" i="32"/>
  <c r="V8" i="32"/>
  <c r="R8" i="32"/>
  <c r="M8" i="32"/>
  <c r="J8" i="32"/>
  <c r="F8" i="32"/>
  <c r="A8" i="32"/>
  <c r="V7" i="32"/>
  <c r="R7" i="32"/>
  <c r="M7" i="32"/>
  <c r="J7" i="32"/>
  <c r="F7" i="32"/>
  <c r="A7" i="32"/>
  <c r="V6" i="32"/>
  <c r="R6" i="32"/>
  <c r="M6" i="32"/>
  <c r="J6" i="32"/>
  <c r="F6" i="32"/>
  <c r="A6" i="32"/>
  <c r="V5" i="32"/>
  <c r="R5" i="32"/>
  <c r="M5" i="32"/>
  <c r="J5" i="32"/>
  <c r="F5" i="32"/>
  <c r="A5" i="32"/>
  <c r="V4" i="32"/>
  <c r="R4" i="32"/>
  <c r="M4" i="32"/>
  <c r="J4" i="32"/>
  <c r="F4" i="32"/>
  <c r="A4" i="32"/>
  <c r="V3" i="32"/>
  <c r="R3" i="32"/>
  <c r="M3" i="32"/>
  <c r="J3" i="32"/>
  <c r="F3" i="32"/>
  <c r="A3" i="32"/>
  <c r="V65" i="31"/>
  <c r="J65" i="31"/>
  <c r="V64" i="31"/>
  <c r="J64" i="31"/>
  <c r="V63" i="31"/>
  <c r="J63" i="31"/>
  <c r="V62" i="31"/>
  <c r="J62" i="31"/>
  <c r="V61" i="31"/>
  <c r="J61" i="31"/>
  <c r="V60" i="31"/>
  <c r="J60" i="31"/>
  <c r="V59" i="31"/>
  <c r="J59" i="31"/>
  <c r="V58" i="31"/>
  <c r="J58" i="31"/>
  <c r="V57" i="31"/>
  <c r="J57" i="31"/>
  <c r="V56" i="31"/>
  <c r="J56" i="31"/>
  <c r="V55" i="31"/>
  <c r="J55" i="31"/>
  <c r="V54" i="31"/>
  <c r="J54" i="31"/>
  <c r="V53" i="31"/>
  <c r="J53" i="31"/>
  <c r="V52" i="31"/>
  <c r="J52" i="31"/>
  <c r="V51" i="31"/>
  <c r="R51" i="31"/>
  <c r="J51" i="31"/>
  <c r="F51" i="31"/>
  <c r="V50" i="31"/>
  <c r="R50" i="31"/>
  <c r="J50" i="31"/>
  <c r="F50" i="31"/>
  <c r="V49" i="31"/>
  <c r="R49" i="31"/>
  <c r="J49" i="31"/>
  <c r="F49" i="31"/>
  <c r="V48" i="31"/>
  <c r="R48" i="31"/>
  <c r="J48" i="31"/>
  <c r="F48" i="31"/>
  <c r="V47" i="31"/>
  <c r="R47" i="31"/>
  <c r="J47" i="31"/>
  <c r="F47" i="31"/>
  <c r="R46" i="31"/>
  <c r="J46" i="31"/>
  <c r="F46" i="31"/>
  <c r="R45" i="31"/>
  <c r="J45" i="31"/>
  <c r="F45" i="31"/>
  <c r="R44" i="31"/>
  <c r="J44" i="31"/>
  <c r="F44" i="31"/>
  <c r="R43" i="31"/>
  <c r="J43" i="31"/>
  <c r="F43" i="31"/>
  <c r="R42" i="31"/>
  <c r="J42" i="31"/>
  <c r="F42" i="31"/>
  <c r="R41" i="31"/>
  <c r="J41" i="31"/>
  <c r="F41" i="31"/>
  <c r="R40" i="31"/>
  <c r="J40" i="31"/>
  <c r="F40" i="31"/>
  <c r="R39" i="31"/>
  <c r="J39" i="31"/>
  <c r="F39" i="31"/>
  <c r="R38" i="31"/>
  <c r="J38" i="31"/>
  <c r="F38" i="31"/>
  <c r="R37" i="31"/>
  <c r="J37" i="31"/>
  <c r="F37" i="31"/>
  <c r="R36" i="31"/>
  <c r="J36" i="31"/>
  <c r="F36" i="31"/>
  <c r="R35" i="31"/>
  <c r="J35" i="31"/>
  <c r="F35" i="31"/>
  <c r="R34" i="31"/>
  <c r="J34" i="31"/>
  <c r="F34" i="31"/>
  <c r="R33" i="31"/>
  <c r="J33" i="31"/>
  <c r="F33" i="31"/>
  <c r="R32" i="31"/>
  <c r="J32" i="31"/>
  <c r="F32" i="31"/>
  <c r="R31" i="31"/>
  <c r="J31" i="31"/>
  <c r="F31" i="31"/>
  <c r="R30" i="31"/>
  <c r="J30" i="31"/>
  <c r="F30" i="31"/>
  <c r="R29" i="31"/>
  <c r="J29" i="31"/>
  <c r="F29" i="31"/>
  <c r="R28" i="31"/>
  <c r="J28" i="31"/>
  <c r="F28" i="31"/>
  <c r="R27" i="31"/>
  <c r="J27" i="31"/>
  <c r="F27" i="31"/>
  <c r="R26" i="31"/>
  <c r="J26" i="31"/>
  <c r="F26" i="31"/>
  <c r="R25" i="31"/>
  <c r="J25" i="31"/>
  <c r="F25" i="31"/>
  <c r="R24" i="31"/>
  <c r="J24" i="31"/>
  <c r="F24" i="31"/>
  <c r="R23" i="31"/>
  <c r="J23" i="31"/>
  <c r="F23" i="31"/>
  <c r="V22" i="31"/>
  <c r="R22" i="31"/>
  <c r="J22" i="31"/>
  <c r="F22" i="31"/>
  <c r="V21" i="31"/>
  <c r="R21" i="31"/>
  <c r="J21" i="31"/>
  <c r="F21" i="31"/>
  <c r="V20" i="31"/>
  <c r="R20" i="31"/>
  <c r="J20" i="31"/>
  <c r="F20" i="31"/>
  <c r="V19" i="31"/>
  <c r="R19" i="31"/>
  <c r="J19" i="31"/>
  <c r="F19" i="31"/>
  <c r="V18" i="31"/>
  <c r="R18" i="31"/>
  <c r="J18" i="31"/>
  <c r="F18" i="31"/>
  <c r="V17" i="31"/>
  <c r="R17" i="31"/>
  <c r="J17" i="31"/>
  <c r="F17" i="31"/>
  <c r="V16" i="31"/>
  <c r="R16" i="31"/>
  <c r="J16" i="31"/>
  <c r="F16" i="31"/>
  <c r="V15" i="31"/>
  <c r="R15" i="31"/>
  <c r="J15" i="31"/>
  <c r="F15" i="31"/>
  <c r="V14" i="31"/>
  <c r="R14" i="31"/>
  <c r="J14" i="31"/>
  <c r="F14" i="31"/>
  <c r="V13" i="31"/>
  <c r="R13" i="31"/>
  <c r="J13" i="31"/>
  <c r="F13" i="31"/>
  <c r="V12" i="31"/>
  <c r="R12" i="31"/>
  <c r="M12" i="31"/>
  <c r="J12" i="31"/>
  <c r="F12" i="31"/>
  <c r="A12" i="31"/>
  <c r="V11" i="31"/>
  <c r="R11" i="31"/>
  <c r="M11" i="31"/>
  <c r="J11" i="31"/>
  <c r="F11" i="31"/>
  <c r="A11" i="31"/>
  <c r="V10" i="31"/>
  <c r="R10" i="31"/>
  <c r="M10" i="31"/>
  <c r="J10" i="31"/>
  <c r="F10" i="31"/>
  <c r="A10" i="31"/>
  <c r="V9" i="31"/>
  <c r="R9" i="31"/>
  <c r="M9" i="31"/>
  <c r="J9" i="31"/>
  <c r="F9" i="31"/>
  <c r="A9" i="31"/>
  <c r="V8" i="31"/>
  <c r="R8" i="31"/>
  <c r="M8" i="31"/>
  <c r="J8" i="31"/>
  <c r="F8" i="31"/>
  <c r="A8" i="31"/>
  <c r="V7" i="31"/>
  <c r="R7" i="31"/>
  <c r="M7" i="31"/>
  <c r="J7" i="31"/>
  <c r="F7" i="31"/>
  <c r="A7" i="31"/>
  <c r="V6" i="31"/>
  <c r="R6" i="31"/>
  <c r="M6" i="31"/>
  <c r="J6" i="31"/>
  <c r="F6" i="31"/>
  <c r="A6" i="31"/>
  <c r="V5" i="31"/>
  <c r="R5" i="31"/>
  <c r="M5" i="31"/>
  <c r="J5" i="31"/>
  <c r="F5" i="31"/>
  <c r="A5" i="31"/>
  <c r="V4" i="31"/>
  <c r="R4" i="31"/>
  <c r="M4" i="31"/>
  <c r="J4" i="31"/>
  <c r="F4" i="31"/>
  <c r="A4" i="31"/>
  <c r="V3" i="31"/>
  <c r="R3" i="31"/>
  <c r="M3" i="31"/>
  <c r="J3" i="31"/>
  <c r="F3" i="31"/>
  <c r="A3" i="31"/>
  <c r="V65" i="30"/>
  <c r="J65" i="30"/>
  <c r="V64" i="30"/>
  <c r="J64" i="30"/>
  <c r="V63" i="30"/>
  <c r="J63" i="30"/>
  <c r="V62" i="30"/>
  <c r="J62" i="30"/>
  <c r="V61" i="30"/>
  <c r="J61" i="30"/>
  <c r="V60" i="30"/>
  <c r="J60" i="30"/>
  <c r="V59" i="30"/>
  <c r="J59" i="30"/>
  <c r="V58" i="30"/>
  <c r="J58" i="30"/>
  <c r="V57" i="30"/>
  <c r="J57" i="30"/>
  <c r="V56" i="30"/>
  <c r="J56" i="30"/>
  <c r="V55" i="30"/>
  <c r="J55" i="30"/>
  <c r="V54" i="30"/>
  <c r="J54" i="30"/>
  <c r="V53" i="30"/>
  <c r="J53" i="30"/>
  <c r="V52" i="30"/>
  <c r="J52" i="30"/>
  <c r="V51" i="30"/>
  <c r="R51" i="30"/>
  <c r="J51" i="30"/>
  <c r="F51" i="30"/>
  <c r="V50" i="30"/>
  <c r="R50" i="30"/>
  <c r="J50" i="30"/>
  <c r="F50" i="30"/>
  <c r="V49" i="30"/>
  <c r="R49" i="30"/>
  <c r="J49" i="30"/>
  <c r="F49" i="30"/>
  <c r="V48" i="30"/>
  <c r="R48" i="30"/>
  <c r="J48" i="30"/>
  <c r="F48" i="30"/>
  <c r="V47" i="30"/>
  <c r="R47" i="30"/>
  <c r="J47" i="30"/>
  <c r="F47" i="30"/>
  <c r="R46" i="30"/>
  <c r="J46" i="30"/>
  <c r="F46" i="30"/>
  <c r="R45" i="30"/>
  <c r="J45" i="30"/>
  <c r="F45" i="30"/>
  <c r="R44" i="30"/>
  <c r="J44" i="30"/>
  <c r="F44" i="30"/>
  <c r="R43" i="30"/>
  <c r="J43" i="30"/>
  <c r="F43" i="30"/>
  <c r="R42" i="30"/>
  <c r="J42" i="30"/>
  <c r="F42" i="30"/>
  <c r="R41" i="30"/>
  <c r="J41" i="30"/>
  <c r="F41" i="30"/>
  <c r="R40" i="30"/>
  <c r="J40" i="30"/>
  <c r="F40" i="30"/>
  <c r="R39" i="30"/>
  <c r="J39" i="30"/>
  <c r="F39" i="30"/>
  <c r="R38" i="30"/>
  <c r="J38" i="30"/>
  <c r="F38" i="30"/>
  <c r="R37" i="30"/>
  <c r="J37" i="30"/>
  <c r="F37" i="30"/>
  <c r="R36" i="30"/>
  <c r="J36" i="30"/>
  <c r="F36" i="30"/>
  <c r="R35" i="30"/>
  <c r="J35" i="30"/>
  <c r="F35" i="30"/>
  <c r="R34" i="30"/>
  <c r="J34" i="30"/>
  <c r="F34" i="30"/>
  <c r="R33" i="30"/>
  <c r="J33" i="30"/>
  <c r="F33" i="30"/>
  <c r="R32" i="30"/>
  <c r="J32" i="30"/>
  <c r="F32" i="30"/>
  <c r="R31" i="30"/>
  <c r="J31" i="30"/>
  <c r="F31" i="30"/>
  <c r="R30" i="30"/>
  <c r="J30" i="30"/>
  <c r="F30" i="30"/>
  <c r="R29" i="30"/>
  <c r="J29" i="30"/>
  <c r="F29" i="30"/>
  <c r="R28" i="30"/>
  <c r="J28" i="30"/>
  <c r="F28" i="30"/>
  <c r="R27" i="30"/>
  <c r="J27" i="30"/>
  <c r="F27" i="30"/>
  <c r="R26" i="30"/>
  <c r="J26" i="30"/>
  <c r="F26" i="30"/>
  <c r="R25" i="30"/>
  <c r="J25" i="30"/>
  <c r="F25" i="30"/>
  <c r="R24" i="30"/>
  <c r="J24" i="30"/>
  <c r="F24" i="30"/>
  <c r="R23" i="30"/>
  <c r="J23" i="30"/>
  <c r="F23" i="30"/>
  <c r="V22" i="30"/>
  <c r="R22" i="30"/>
  <c r="J22" i="30"/>
  <c r="F22" i="30"/>
  <c r="V21" i="30"/>
  <c r="R21" i="30"/>
  <c r="J21" i="30"/>
  <c r="F21" i="30"/>
  <c r="V20" i="30"/>
  <c r="R20" i="30"/>
  <c r="J20" i="30"/>
  <c r="F20" i="30"/>
  <c r="V19" i="30"/>
  <c r="R19" i="30"/>
  <c r="J19" i="30"/>
  <c r="F19" i="30"/>
  <c r="V18" i="30"/>
  <c r="R18" i="30"/>
  <c r="J18" i="30"/>
  <c r="F18" i="30"/>
  <c r="V17" i="30"/>
  <c r="R17" i="30"/>
  <c r="J17" i="30"/>
  <c r="F17" i="30"/>
  <c r="V16" i="30"/>
  <c r="R16" i="30"/>
  <c r="J16" i="30"/>
  <c r="F16" i="30"/>
  <c r="V15" i="30"/>
  <c r="R15" i="30"/>
  <c r="J15" i="30"/>
  <c r="F15" i="30"/>
  <c r="V14" i="30"/>
  <c r="R14" i="30"/>
  <c r="J14" i="30"/>
  <c r="F14" i="30"/>
  <c r="V13" i="30"/>
  <c r="R13" i="30"/>
  <c r="J13" i="30"/>
  <c r="F13" i="30"/>
  <c r="V12" i="30"/>
  <c r="R12" i="30"/>
  <c r="M12" i="30"/>
  <c r="J12" i="30"/>
  <c r="F12" i="30"/>
  <c r="A12" i="30"/>
  <c r="V11" i="30"/>
  <c r="R11" i="30"/>
  <c r="M11" i="30"/>
  <c r="J11" i="30"/>
  <c r="F11" i="30"/>
  <c r="A11" i="30"/>
  <c r="V10" i="30"/>
  <c r="R10" i="30"/>
  <c r="M10" i="30"/>
  <c r="J10" i="30"/>
  <c r="F10" i="30"/>
  <c r="A10" i="30"/>
  <c r="V9" i="30"/>
  <c r="R9" i="30"/>
  <c r="M9" i="30"/>
  <c r="J9" i="30"/>
  <c r="F9" i="30"/>
  <c r="A9" i="30"/>
  <c r="V8" i="30"/>
  <c r="R8" i="30"/>
  <c r="M8" i="30"/>
  <c r="J8" i="30"/>
  <c r="F8" i="30"/>
  <c r="A8" i="30"/>
  <c r="V7" i="30"/>
  <c r="R7" i="30"/>
  <c r="M7" i="30"/>
  <c r="J7" i="30"/>
  <c r="F7" i="30"/>
  <c r="A7" i="30"/>
  <c r="V6" i="30"/>
  <c r="R6" i="30"/>
  <c r="M6" i="30"/>
  <c r="J6" i="30"/>
  <c r="F6" i="30"/>
  <c r="A6" i="30"/>
  <c r="V5" i="30"/>
  <c r="R5" i="30"/>
  <c r="M5" i="30"/>
  <c r="J5" i="30"/>
  <c r="F5" i="30"/>
  <c r="A5" i="30"/>
  <c r="V4" i="30"/>
  <c r="R4" i="30"/>
  <c r="M4" i="30"/>
  <c r="J4" i="30"/>
  <c r="F4" i="30"/>
  <c r="A4" i="30"/>
  <c r="V3" i="30"/>
  <c r="R3" i="30"/>
  <c r="M3" i="30"/>
  <c r="J3" i="30"/>
  <c r="F3" i="30"/>
  <c r="A3" i="30"/>
  <c r="V65" i="29"/>
  <c r="J65" i="29"/>
  <c r="V64" i="29"/>
  <c r="J64" i="29"/>
  <c r="V63" i="29"/>
  <c r="J63" i="29"/>
  <c r="V62" i="29"/>
  <c r="J62" i="29"/>
  <c r="V61" i="29"/>
  <c r="J61" i="29"/>
  <c r="V60" i="29"/>
  <c r="J60" i="29"/>
  <c r="V59" i="29"/>
  <c r="J59" i="29"/>
  <c r="V58" i="29"/>
  <c r="J58" i="29"/>
  <c r="V57" i="29"/>
  <c r="J57" i="29"/>
  <c r="V56" i="29"/>
  <c r="J56" i="29"/>
  <c r="V55" i="29"/>
  <c r="J55" i="29"/>
  <c r="V54" i="29"/>
  <c r="J54" i="29"/>
  <c r="V53" i="29"/>
  <c r="J53" i="29"/>
  <c r="V52" i="29"/>
  <c r="J52" i="29"/>
  <c r="V51" i="29"/>
  <c r="R51" i="29"/>
  <c r="J51" i="29"/>
  <c r="F51" i="29"/>
  <c r="V50" i="29"/>
  <c r="R50" i="29"/>
  <c r="J50" i="29"/>
  <c r="F50" i="29"/>
  <c r="V49" i="29"/>
  <c r="R49" i="29"/>
  <c r="J49" i="29"/>
  <c r="F49" i="29"/>
  <c r="V48" i="29"/>
  <c r="R48" i="29"/>
  <c r="J48" i="29"/>
  <c r="F48" i="29"/>
  <c r="V47" i="29"/>
  <c r="R47" i="29"/>
  <c r="J47" i="29"/>
  <c r="F47" i="29"/>
  <c r="R46" i="29"/>
  <c r="J46" i="29"/>
  <c r="F46" i="29"/>
  <c r="R45" i="29"/>
  <c r="J45" i="29"/>
  <c r="F45" i="29"/>
  <c r="R44" i="29"/>
  <c r="J44" i="29"/>
  <c r="F44" i="29"/>
  <c r="R43" i="29"/>
  <c r="J43" i="29"/>
  <c r="F43" i="29"/>
  <c r="R42" i="29"/>
  <c r="J42" i="29"/>
  <c r="F42" i="29"/>
  <c r="R41" i="29"/>
  <c r="J41" i="29"/>
  <c r="F41" i="29"/>
  <c r="R40" i="29"/>
  <c r="J40" i="29"/>
  <c r="F40" i="29"/>
  <c r="R39" i="29"/>
  <c r="J39" i="29"/>
  <c r="F39" i="29"/>
  <c r="R38" i="29"/>
  <c r="J38" i="29"/>
  <c r="F38" i="29"/>
  <c r="R37" i="29"/>
  <c r="J37" i="29"/>
  <c r="F37" i="29"/>
  <c r="R36" i="29"/>
  <c r="J36" i="29"/>
  <c r="F36" i="29"/>
  <c r="R35" i="29"/>
  <c r="J35" i="29"/>
  <c r="F35" i="29"/>
  <c r="R34" i="29"/>
  <c r="J34" i="29"/>
  <c r="F34" i="29"/>
  <c r="R33" i="29"/>
  <c r="J33" i="29"/>
  <c r="F33" i="29"/>
  <c r="R32" i="29"/>
  <c r="J32" i="29"/>
  <c r="F32" i="29"/>
  <c r="R31" i="29"/>
  <c r="J31" i="29"/>
  <c r="F31" i="29"/>
  <c r="R30" i="29"/>
  <c r="J30" i="29"/>
  <c r="F30" i="29"/>
  <c r="R29" i="29"/>
  <c r="J29" i="29"/>
  <c r="F29" i="29"/>
  <c r="R28" i="29"/>
  <c r="J28" i="29"/>
  <c r="F28" i="29"/>
  <c r="R27" i="29"/>
  <c r="J27" i="29"/>
  <c r="F27" i="29"/>
  <c r="R26" i="29"/>
  <c r="J26" i="29"/>
  <c r="F26" i="29"/>
  <c r="R25" i="29"/>
  <c r="J25" i="29"/>
  <c r="F25" i="29"/>
  <c r="R24" i="29"/>
  <c r="J24" i="29"/>
  <c r="F24" i="29"/>
  <c r="R23" i="29"/>
  <c r="J23" i="29"/>
  <c r="F23" i="29"/>
  <c r="V22" i="29"/>
  <c r="R22" i="29"/>
  <c r="J22" i="29"/>
  <c r="F22" i="29"/>
  <c r="V21" i="29"/>
  <c r="R21" i="29"/>
  <c r="J21" i="29"/>
  <c r="F21" i="29"/>
  <c r="V20" i="29"/>
  <c r="R20" i="29"/>
  <c r="J20" i="29"/>
  <c r="F20" i="29"/>
  <c r="V19" i="29"/>
  <c r="R19" i="29"/>
  <c r="J19" i="29"/>
  <c r="F19" i="29"/>
  <c r="V18" i="29"/>
  <c r="R18" i="29"/>
  <c r="J18" i="29"/>
  <c r="F18" i="29"/>
  <c r="V17" i="29"/>
  <c r="R17" i="29"/>
  <c r="J17" i="29"/>
  <c r="F17" i="29"/>
  <c r="V16" i="29"/>
  <c r="R16" i="29"/>
  <c r="J16" i="29"/>
  <c r="F16" i="29"/>
  <c r="V15" i="29"/>
  <c r="R15" i="29"/>
  <c r="J15" i="29"/>
  <c r="F15" i="29"/>
  <c r="V14" i="29"/>
  <c r="R14" i="29"/>
  <c r="J14" i="29"/>
  <c r="F14" i="29"/>
  <c r="V13" i="29"/>
  <c r="R13" i="29"/>
  <c r="J13" i="29"/>
  <c r="F13" i="29"/>
  <c r="V12" i="29"/>
  <c r="R12" i="29"/>
  <c r="M12" i="29"/>
  <c r="J12" i="29"/>
  <c r="F12" i="29"/>
  <c r="A12" i="29"/>
  <c r="V11" i="29"/>
  <c r="R11" i="29"/>
  <c r="M11" i="29"/>
  <c r="J11" i="29"/>
  <c r="F11" i="29"/>
  <c r="A11" i="29"/>
  <c r="V10" i="29"/>
  <c r="R10" i="29"/>
  <c r="M10" i="29"/>
  <c r="J10" i="29"/>
  <c r="F10" i="29"/>
  <c r="A10" i="29"/>
  <c r="V9" i="29"/>
  <c r="R9" i="29"/>
  <c r="M9" i="29"/>
  <c r="J9" i="29"/>
  <c r="F9" i="29"/>
  <c r="A9" i="29"/>
  <c r="V8" i="29"/>
  <c r="R8" i="29"/>
  <c r="M8" i="29"/>
  <c r="J8" i="29"/>
  <c r="F8" i="29"/>
  <c r="A8" i="29"/>
  <c r="V7" i="29"/>
  <c r="R7" i="29"/>
  <c r="M7" i="29"/>
  <c r="J7" i="29"/>
  <c r="F7" i="29"/>
  <c r="A7" i="29"/>
  <c r="V6" i="29"/>
  <c r="R6" i="29"/>
  <c r="M6" i="29"/>
  <c r="J6" i="29"/>
  <c r="F6" i="29"/>
  <c r="A6" i="29"/>
  <c r="V5" i="29"/>
  <c r="R5" i="29"/>
  <c r="M5" i="29"/>
  <c r="J5" i="29"/>
  <c r="F5" i="29"/>
  <c r="A5" i="29"/>
  <c r="V4" i="29"/>
  <c r="R4" i="29"/>
  <c r="M4" i="29"/>
  <c r="J4" i="29"/>
  <c r="F4" i="29"/>
  <c r="A4" i="29"/>
  <c r="V3" i="29"/>
  <c r="R3" i="29"/>
  <c r="M3" i="29"/>
  <c r="J3" i="29"/>
  <c r="F3" i="29"/>
  <c r="A3" i="29"/>
  <c r="V65" i="28"/>
  <c r="J65" i="28"/>
  <c r="V64" i="28"/>
  <c r="J64" i="28"/>
  <c r="V63" i="28"/>
  <c r="J63" i="28"/>
  <c r="V62" i="28"/>
  <c r="J62" i="28"/>
  <c r="V61" i="28"/>
  <c r="J61" i="28"/>
  <c r="V60" i="28"/>
  <c r="J60" i="28"/>
  <c r="V59" i="28"/>
  <c r="J59" i="28"/>
  <c r="V58" i="28"/>
  <c r="J58" i="28"/>
  <c r="V57" i="28"/>
  <c r="J57" i="28"/>
  <c r="V56" i="28"/>
  <c r="J56" i="28"/>
  <c r="V55" i="28"/>
  <c r="J55" i="28"/>
  <c r="V54" i="28"/>
  <c r="J54" i="28"/>
  <c r="V53" i="28"/>
  <c r="J53" i="28"/>
  <c r="V52" i="28"/>
  <c r="J52" i="28"/>
  <c r="V51" i="28"/>
  <c r="R51" i="28"/>
  <c r="J51" i="28"/>
  <c r="F51" i="28"/>
  <c r="V50" i="28"/>
  <c r="R50" i="28"/>
  <c r="J50" i="28"/>
  <c r="F50" i="28"/>
  <c r="V49" i="28"/>
  <c r="R49" i="28"/>
  <c r="J49" i="28"/>
  <c r="F49" i="28"/>
  <c r="V48" i="28"/>
  <c r="R48" i="28"/>
  <c r="J48" i="28"/>
  <c r="F48" i="28"/>
  <c r="V47" i="28"/>
  <c r="R47" i="28"/>
  <c r="J47" i="28"/>
  <c r="F47" i="28"/>
  <c r="R46" i="28"/>
  <c r="J46" i="28"/>
  <c r="F46" i="28"/>
  <c r="R45" i="28"/>
  <c r="J45" i="28"/>
  <c r="F45" i="28"/>
  <c r="R44" i="28"/>
  <c r="J44" i="28"/>
  <c r="F44" i="28"/>
  <c r="R43" i="28"/>
  <c r="J43" i="28"/>
  <c r="F43" i="28"/>
  <c r="R42" i="28"/>
  <c r="J42" i="28"/>
  <c r="F42" i="28"/>
  <c r="R41" i="28"/>
  <c r="J41" i="28"/>
  <c r="F41" i="28"/>
  <c r="R40" i="28"/>
  <c r="J40" i="28"/>
  <c r="F40" i="28"/>
  <c r="R39" i="28"/>
  <c r="J39" i="28"/>
  <c r="F39" i="28"/>
  <c r="R38" i="28"/>
  <c r="J38" i="28"/>
  <c r="F38" i="28"/>
  <c r="R37" i="28"/>
  <c r="J37" i="28"/>
  <c r="F37" i="28"/>
  <c r="R36" i="28"/>
  <c r="J36" i="28"/>
  <c r="F36" i="28"/>
  <c r="R35" i="28"/>
  <c r="J35" i="28"/>
  <c r="F35" i="28"/>
  <c r="R34" i="28"/>
  <c r="J34" i="28"/>
  <c r="F34" i="28"/>
  <c r="R33" i="28"/>
  <c r="J33" i="28"/>
  <c r="F33" i="28"/>
  <c r="R32" i="28"/>
  <c r="J32" i="28"/>
  <c r="F32" i="28"/>
  <c r="R31" i="28"/>
  <c r="J31" i="28"/>
  <c r="F31" i="28"/>
  <c r="R30" i="28"/>
  <c r="J30" i="28"/>
  <c r="F30" i="28"/>
  <c r="R29" i="28"/>
  <c r="J29" i="28"/>
  <c r="F29" i="28"/>
  <c r="R28" i="28"/>
  <c r="J28" i="28"/>
  <c r="F28" i="28"/>
  <c r="R27" i="28"/>
  <c r="J27" i="28"/>
  <c r="F27" i="28"/>
  <c r="R26" i="28"/>
  <c r="J26" i="28"/>
  <c r="F26" i="28"/>
  <c r="R25" i="28"/>
  <c r="J25" i="28"/>
  <c r="F25" i="28"/>
  <c r="R24" i="28"/>
  <c r="J24" i="28"/>
  <c r="F24" i="28"/>
  <c r="R23" i="28"/>
  <c r="J23" i="28"/>
  <c r="F23" i="28"/>
  <c r="V22" i="28"/>
  <c r="R22" i="28"/>
  <c r="J22" i="28"/>
  <c r="F22" i="28"/>
  <c r="V21" i="28"/>
  <c r="R21" i="28"/>
  <c r="J21" i="28"/>
  <c r="F21" i="28"/>
  <c r="V20" i="28"/>
  <c r="R20" i="28"/>
  <c r="J20" i="28"/>
  <c r="F20" i="28"/>
  <c r="V19" i="28"/>
  <c r="R19" i="28"/>
  <c r="J19" i="28"/>
  <c r="F19" i="28"/>
  <c r="V18" i="28"/>
  <c r="R18" i="28"/>
  <c r="J18" i="28"/>
  <c r="F18" i="28"/>
  <c r="V17" i="28"/>
  <c r="R17" i="28"/>
  <c r="J17" i="28"/>
  <c r="F17" i="28"/>
  <c r="V16" i="28"/>
  <c r="R16" i="28"/>
  <c r="J16" i="28"/>
  <c r="F16" i="28"/>
  <c r="V15" i="28"/>
  <c r="R15" i="28"/>
  <c r="J15" i="28"/>
  <c r="F15" i="28"/>
  <c r="V14" i="28"/>
  <c r="R14" i="28"/>
  <c r="J14" i="28"/>
  <c r="F14" i="28"/>
  <c r="V13" i="28"/>
  <c r="R13" i="28"/>
  <c r="J13" i="28"/>
  <c r="F13" i="28"/>
  <c r="V12" i="28"/>
  <c r="R12" i="28"/>
  <c r="M12" i="28"/>
  <c r="J12" i="28"/>
  <c r="F12" i="28"/>
  <c r="A12" i="28"/>
  <c r="V11" i="28"/>
  <c r="R11" i="28"/>
  <c r="M11" i="28"/>
  <c r="J11" i="28"/>
  <c r="F11" i="28"/>
  <c r="A11" i="28"/>
  <c r="V10" i="28"/>
  <c r="R10" i="28"/>
  <c r="M10" i="28"/>
  <c r="J10" i="28"/>
  <c r="F10" i="28"/>
  <c r="A10" i="28"/>
  <c r="V9" i="28"/>
  <c r="R9" i="28"/>
  <c r="M9" i="28"/>
  <c r="J9" i="28"/>
  <c r="F9" i="28"/>
  <c r="A9" i="28"/>
  <c r="V8" i="28"/>
  <c r="R8" i="28"/>
  <c r="M8" i="28"/>
  <c r="J8" i="28"/>
  <c r="F8" i="28"/>
  <c r="A8" i="28"/>
  <c r="V7" i="28"/>
  <c r="R7" i="28"/>
  <c r="M7" i="28"/>
  <c r="J7" i="28"/>
  <c r="F7" i="28"/>
  <c r="A7" i="28"/>
  <c r="V6" i="28"/>
  <c r="R6" i="28"/>
  <c r="M6" i="28"/>
  <c r="J6" i="28"/>
  <c r="F6" i="28"/>
  <c r="A6" i="28"/>
  <c r="V5" i="28"/>
  <c r="R5" i="28"/>
  <c r="M5" i="28"/>
  <c r="J5" i="28"/>
  <c r="F5" i="28"/>
  <c r="A5" i="28"/>
  <c r="V4" i="28"/>
  <c r="R4" i="28"/>
  <c r="M4" i="28"/>
  <c r="J4" i="28"/>
  <c r="F4" i="28"/>
  <c r="A4" i="28"/>
  <c r="V3" i="28"/>
  <c r="R3" i="28"/>
  <c r="M3" i="28"/>
  <c r="J3" i="28"/>
  <c r="F3" i="28"/>
  <c r="A3" i="28"/>
  <c r="V65" i="27"/>
  <c r="J65" i="27"/>
  <c r="V64" i="27"/>
  <c r="J64" i="27"/>
  <c r="V63" i="27"/>
  <c r="J63" i="27"/>
  <c r="V62" i="27"/>
  <c r="J62" i="27"/>
  <c r="V61" i="27"/>
  <c r="J61" i="27"/>
  <c r="V60" i="27"/>
  <c r="J60" i="27"/>
  <c r="V59" i="27"/>
  <c r="J59" i="27"/>
  <c r="V58" i="27"/>
  <c r="J58" i="27"/>
  <c r="V57" i="27"/>
  <c r="J57" i="27"/>
  <c r="V56" i="27"/>
  <c r="J56" i="27"/>
  <c r="V55" i="27"/>
  <c r="J55" i="27"/>
  <c r="V54" i="27"/>
  <c r="J54" i="27"/>
  <c r="V53" i="27"/>
  <c r="J53" i="27"/>
  <c r="V52" i="27"/>
  <c r="J52" i="27"/>
  <c r="V51" i="27"/>
  <c r="R51" i="27"/>
  <c r="J51" i="27"/>
  <c r="F51" i="27"/>
  <c r="V50" i="27"/>
  <c r="R50" i="27"/>
  <c r="J50" i="27"/>
  <c r="F50" i="27"/>
  <c r="V49" i="27"/>
  <c r="R49" i="27"/>
  <c r="J49" i="27"/>
  <c r="F49" i="27"/>
  <c r="V48" i="27"/>
  <c r="R48" i="27"/>
  <c r="J48" i="27"/>
  <c r="F48" i="27"/>
  <c r="V47" i="27"/>
  <c r="R47" i="27"/>
  <c r="J47" i="27"/>
  <c r="F47" i="27"/>
  <c r="R46" i="27"/>
  <c r="J46" i="27"/>
  <c r="F46" i="27"/>
  <c r="R45" i="27"/>
  <c r="J45" i="27"/>
  <c r="F45" i="27"/>
  <c r="R44" i="27"/>
  <c r="J44" i="27"/>
  <c r="F44" i="27"/>
  <c r="R43" i="27"/>
  <c r="J43" i="27"/>
  <c r="F43" i="27"/>
  <c r="R42" i="27"/>
  <c r="J42" i="27"/>
  <c r="F42" i="27"/>
  <c r="R41" i="27"/>
  <c r="J41" i="27"/>
  <c r="F41" i="27"/>
  <c r="R40" i="27"/>
  <c r="J40" i="27"/>
  <c r="F40" i="27"/>
  <c r="R39" i="27"/>
  <c r="J39" i="27"/>
  <c r="F39" i="27"/>
  <c r="R38" i="27"/>
  <c r="J38" i="27"/>
  <c r="F38" i="27"/>
  <c r="R37" i="27"/>
  <c r="J37" i="27"/>
  <c r="F37" i="27"/>
  <c r="R36" i="27"/>
  <c r="J36" i="27"/>
  <c r="F36" i="27"/>
  <c r="R35" i="27"/>
  <c r="J35" i="27"/>
  <c r="F35" i="27"/>
  <c r="R34" i="27"/>
  <c r="J34" i="27"/>
  <c r="F34" i="27"/>
  <c r="R33" i="27"/>
  <c r="J33" i="27"/>
  <c r="F33" i="27"/>
  <c r="R32" i="27"/>
  <c r="J32" i="27"/>
  <c r="F32" i="27"/>
  <c r="R31" i="27"/>
  <c r="J31" i="27"/>
  <c r="F31" i="27"/>
  <c r="R30" i="27"/>
  <c r="J30" i="27"/>
  <c r="F30" i="27"/>
  <c r="R29" i="27"/>
  <c r="J29" i="27"/>
  <c r="F29" i="27"/>
  <c r="R28" i="27"/>
  <c r="J28" i="27"/>
  <c r="F28" i="27"/>
  <c r="R27" i="27"/>
  <c r="J27" i="27"/>
  <c r="F27" i="27"/>
  <c r="R26" i="27"/>
  <c r="J26" i="27"/>
  <c r="F26" i="27"/>
  <c r="R25" i="27"/>
  <c r="J25" i="27"/>
  <c r="F25" i="27"/>
  <c r="R24" i="27"/>
  <c r="J24" i="27"/>
  <c r="F24" i="27"/>
  <c r="R23" i="27"/>
  <c r="J23" i="27"/>
  <c r="F23" i="27"/>
  <c r="V22" i="27"/>
  <c r="R22" i="27"/>
  <c r="J22" i="27"/>
  <c r="F22" i="27"/>
  <c r="V21" i="27"/>
  <c r="R21" i="27"/>
  <c r="J21" i="27"/>
  <c r="F21" i="27"/>
  <c r="V20" i="27"/>
  <c r="R20" i="27"/>
  <c r="J20" i="27"/>
  <c r="F20" i="27"/>
  <c r="V19" i="27"/>
  <c r="R19" i="27"/>
  <c r="J19" i="27"/>
  <c r="F19" i="27"/>
  <c r="V18" i="27"/>
  <c r="R18" i="27"/>
  <c r="J18" i="27"/>
  <c r="F18" i="27"/>
  <c r="V17" i="27"/>
  <c r="R17" i="27"/>
  <c r="J17" i="27"/>
  <c r="F17" i="27"/>
  <c r="V16" i="27"/>
  <c r="R16" i="27"/>
  <c r="J16" i="27"/>
  <c r="F16" i="27"/>
  <c r="V15" i="27"/>
  <c r="R15" i="27"/>
  <c r="J15" i="27"/>
  <c r="F15" i="27"/>
  <c r="V14" i="27"/>
  <c r="R14" i="27"/>
  <c r="J14" i="27"/>
  <c r="F14" i="27"/>
  <c r="V13" i="27"/>
  <c r="R13" i="27"/>
  <c r="J13" i="27"/>
  <c r="F13" i="27"/>
  <c r="V12" i="27"/>
  <c r="R12" i="27"/>
  <c r="M12" i="27"/>
  <c r="J12" i="27"/>
  <c r="F12" i="27"/>
  <c r="A12" i="27"/>
  <c r="V11" i="27"/>
  <c r="R11" i="27"/>
  <c r="M11" i="27"/>
  <c r="J11" i="27"/>
  <c r="F11" i="27"/>
  <c r="A11" i="27"/>
  <c r="V10" i="27"/>
  <c r="R10" i="27"/>
  <c r="M10" i="27"/>
  <c r="J10" i="27"/>
  <c r="F10" i="27"/>
  <c r="A10" i="27"/>
  <c r="V9" i="27"/>
  <c r="R9" i="27"/>
  <c r="M9" i="27"/>
  <c r="J9" i="27"/>
  <c r="F9" i="27"/>
  <c r="A9" i="27"/>
  <c r="V8" i="27"/>
  <c r="R8" i="27"/>
  <c r="M8" i="27"/>
  <c r="J8" i="27"/>
  <c r="F8" i="27"/>
  <c r="A8" i="27"/>
  <c r="V7" i="27"/>
  <c r="R7" i="27"/>
  <c r="M7" i="27"/>
  <c r="J7" i="27"/>
  <c r="F7" i="27"/>
  <c r="A7" i="27"/>
  <c r="V6" i="27"/>
  <c r="R6" i="27"/>
  <c r="M6" i="27"/>
  <c r="J6" i="27"/>
  <c r="F6" i="27"/>
  <c r="A6" i="27"/>
  <c r="V5" i="27"/>
  <c r="R5" i="27"/>
  <c r="M5" i="27"/>
  <c r="J5" i="27"/>
  <c r="F5" i="27"/>
  <c r="A5" i="27"/>
  <c r="V4" i="27"/>
  <c r="R4" i="27"/>
  <c r="M4" i="27"/>
  <c r="J4" i="27"/>
  <c r="F4" i="27"/>
  <c r="A4" i="27"/>
  <c r="V3" i="27"/>
  <c r="R3" i="27"/>
  <c r="M3" i="27"/>
  <c r="J3" i="27"/>
  <c r="F3" i="27"/>
  <c r="A3" i="27"/>
  <c r="V65" i="26"/>
  <c r="J65" i="26"/>
  <c r="V64" i="26"/>
  <c r="J64" i="26"/>
  <c r="V63" i="26"/>
  <c r="J63" i="26"/>
  <c r="V62" i="26"/>
  <c r="J62" i="26"/>
  <c r="V61" i="26"/>
  <c r="J61" i="26"/>
  <c r="V60" i="26"/>
  <c r="J60" i="26"/>
  <c r="V59" i="26"/>
  <c r="J59" i="26"/>
  <c r="V58" i="26"/>
  <c r="J58" i="26"/>
  <c r="V57" i="26"/>
  <c r="J57" i="26"/>
  <c r="V56" i="26"/>
  <c r="J56" i="26"/>
  <c r="V55" i="26"/>
  <c r="J55" i="26"/>
  <c r="V54" i="26"/>
  <c r="J54" i="26"/>
  <c r="V53" i="26"/>
  <c r="J53" i="26"/>
  <c r="V52" i="26"/>
  <c r="J52" i="26"/>
  <c r="V51" i="26"/>
  <c r="R51" i="26"/>
  <c r="J51" i="26"/>
  <c r="F51" i="26"/>
  <c r="V50" i="26"/>
  <c r="R50" i="26"/>
  <c r="J50" i="26"/>
  <c r="F50" i="26"/>
  <c r="V49" i="26"/>
  <c r="R49" i="26"/>
  <c r="J49" i="26"/>
  <c r="F49" i="26"/>
  <c r="V48" i="26"/>
  <c r="R48" i="26"/>
  <c r="J48" i="26"/>
  <c r="F48" i="26"/>
  <c r="V47" i="26"/>
  <c r="R47" i="26"/>
  <c r="J47" i="26"/>
  <c r="F47" i="26"/>
  <c r="R46" i="26"/>
  <c r="J46" i="26"/>
  <c r="F46" i="26"/>
  <c r="R45" i="26"/>
  <c r="J45" i="26"/>
  <c r="F45" i="26"/>
  <c r="R44" i="26"/>
  <c r="J44" i="26"/>
  <c r="F44" i="26"/>
  <c r="R43" i="26"/>
  <c r="J43" i="26"/>
  <c r="F43" i="26"/>
  <c r="R42" i="26"/>
  <c r="J42" i="26"/>
  <c r="F42" i="26"/>
  <c r="R41" i="26"/>
  <c r="J41" i="26"/>
  <c r="F41" i="26"/>
  <c r="R40" i="26"/>
  <c r="J40" i="26"/>
  <c r="F40" i="26"/>
  <c r="R39" i="26"/>
  <c r="J39" i="26"/>
  <c r="F39" i="26"/>
  <c r="R38" i="26"/>
  <c r="J38" i="26"/>
  <c r="F38" i="26"/>
  <c r="R37" i="26"/>
  <c r="J37" i="26"/>
  <c r="F37" i="26"/>
  <c r="R36" i="26"/>
  <c r="J36" i="26"/>
  <c r="F36" i="26"/>
  <c r="R35" i="26"/>
  <c r="J35" i="26"/>
  <c r="F35" i="26"/>
  <c r="R34" i="26"/>
  <c r="J34" i="26"/>
  <c r="F34" i="26"/>
  <c r="R33" i="26"/>
  <c r="J33" i="26"/>
  <c r="F33" i="26"/>
  <c r="R32" i="26"/>
  <c r="J32" i="26"/>
  <c r="F32" i="26"/>
  <c r="R31" i="26"/>
  <c r="J31" i="26"/>
  <c r="F31" i="26"/>
  <c r="R30" i="26"/>
  <c r="J30" i="26"/>
  <c r="F30" i="26"/>
  <c r="R29" i="26"/>
  <c r="J29" i="26"/>
  <c r="F29" i="26"/>
  <c r="R28" i="26"/>
  <c r="J28" i="26"/>
  <c r="F28" i="26"/>
  <c r="R27" i="26"/>
  <c r="J27" i="26"/>
  <c r="F27" i="26"/>
  <c r="R26" i="26"/>
  <c r="J26" i="26"/>
  <c r="F26" i="26"/>
  <c r="R25" i="26"/>
  <c r="J25" i="26"/>
  <c r="F25" i="26"/>
  <c r="R24" i="26"/>
  <c r="J24" i="26"/>
  <c r="F24" i="26"/>
  <c r="R23" i="26"/>
  <c r="J23" i="26"/>
  <c r="F23" i="26"/>
  <c r="V22" i="26"/>
  <c r="R22" i="26"/>
  <c r="J22" i="26"/>
  <c r="F22" i="26"/>
  <c r="V21" i="26"/>
  <c r="R21" i="26"/>
  <c r="J21" i="26"/>
  <c r="F21" i="26"/>
  <c r="V20" i="26"/>
  <c r="R20" i="26"/>
  <c r="J20" i="26"/>
  <c r="F20" i="26"/>
  <c r="V19" i="26"/>
  <c r="R19" i="26"/>
  <c r="J19" i="26"/>
  <c r="F19" i="26"/>
  <c r="V18" i="26"/>
  <c r="R18" i="26"/>
  <c r="J18" i="26"/>
  <c r="F18" i="26"/>
  <c r="V17" i="26"/>
  <c r="R17" i="26"/>
  <c r="J17" i="26"/>
  <c r="F17" i="26"/>
  <c r="V16" i="26"/>
  <c r="R16" i="26"/>
  <c r="J16" i="26"/>
  <c r="F16" i="26"/>
  <c r="V15" i="26"/>
  <c r="R15" i="26"/>
  <c r="J15" i="26"/>
  <c r="F15" i="26"/>
  <c r="V14" i="26"/>
  <c r="R14" i="26"/>
  <c r="J14" i="26"/>
  <c r="F14" i="26"/>
  <c r="V13" i="26"/>
  <c r="R13" i="26"/>
  <c r="J13" i="26"/>
  <c r="F13" i="26"/>
  <c r="V12" i="26"/>
  <c r="R12" i="26"/>
  <c r="M12" i="26"/>
  <c r="J12" i="26"/>
  <c r="F12" i="26"/>
  <c r="A12" i="26"/>
  <c r="V11" i="26"/>
  <c r="R11" i="26"/>
  <c r="M11" i="26"/>
  <c r="J11" i="26"/>
  <c r="F11" i="26"/>
  <c r="A11" i="26"/>
  <c r="V10" i="26"/>
  <c r="R10" i="26"/>
  <c r="M10" i="26"/>
  <c r="J10" i="26"/>
  <c r="F10" i="26"/>
  <c r="A10" i="26"/>
  <c r="V9" i="26"/>
  <c r="R9" i="26"/>
  <c r="M9" i="26"/>
  <c r="J9" i="26"/>
  <c r="F9" i="26"/>
  <c r="A9" i="26"/>
  <c r="V8" i="26"/>
  <c r="R8" i="26"/>
  <c r="M8" i="26"/>
  <c r="J8" i="26"/>
  <c r="F8" i="26"/>
  <c r="A8" i="26"/>
  <c r="V7" i="26"/>
  <c r="R7" i="26"/>
  <c r="M7" i="26"/>
  <c r="J7" i="26"/>
  <c r="F7" i="26"/>
  <c r="A7" i="26"/>
  <c r="V6" i="26"/>
  <c r="R6" i="26"/>
  <c r="M6" i="26"/>
  <c r="J6" i="26"/>
  <c r="F6" i="26"/>
  <c r="A6" i="26"/>
  <c r="V5" i="26"/>
  <c r="R5" i="26"/>
  <c r="M5" i="26"/>
  <c r="J5" i="26"/>
  <c r="F5" i="26"/>
  <c r="A5" i="26"/>
  <c r="V4" i="26"/>
  <c r="R4" i="26"/>
  <c r="M4" i="26"/>
  <c r="J4" i="26"/>
  <c r="F4" i="26"/>
  <c r="A4" i="26"/>
  <c r="V3" i="26"/>
  <c r="R3" i="26"/>
  <c r="M3" i="26"/>
  <c r="J3" i="26"/>
  <c r="F3" i="26"/>
  <c r="A3" i="26"/>
  <c r="V65" i="25"/>
  <c r="J65" i="25"/>
  <c r="V64" i="25"/>
  <c r="J64" i="25"/>
  <c r="V63" i="25"/>
  <c r="J63" i="25"/>
  <c r="V62" i="25"/>
  <c r="J62" i="25"/>
  <c r="V61" i="25"/>
  <c r="J61" i="25"/>
  <c r="V60" i="25"/>
  <c r="J60" i="25"/>
  <c r="V59" i="25"/>
  <c r="J59" i="25"/>
  <c r="V58" i="25"/>
  <c r="J58" i="25"/>
  <c r="V57" i="25"/>
  <c r="J57" i="25"/>
  <c r="V56" i="25"/>
  <c r="J56" i="25"/>
  <c r="V55" i="25"/>
  <c r="J55" i="25"/>
  <c r="V54" i="25"/>
  <c r="J54" i="25"/>
  <c r="V53" i="25"/>
  <c r="J53" i="25"/>
  <c r="V52" i="25"/>
  <c r="J52" i="25"/>
  <c r="V51" i="25"/>
  <c r="R51" i="25"/>
  <c r="J51" i="25"/>
  <c r="F51" i="25"/>
  <c r="V50" i="25"/>
  <c r="R50" i="25"/>
  <c r="J50" i="25"/>
  <c r="F50" i="25"/>
  <c r="V49" i="25"/>
  <c r="R49" i="25"/>
  <c r="J49" i="25"/>
  <c r="F49" i="25"/>
  <c r="V48" i="25"/>
  <c r="R48" i="25"/>
  <c r="J48" i="25"/>
  <c r="F48" i="25"/>
  <c r="V47" i="25"/>
  <c r="R47" i="25"/>
  <c r="J47" i="25"/>
  <c r="F47" i="25"/>
  <c r="R46" i="25"/>
  <c r="J46" i="25"/>
  <c r="F46" i="25"/>
  <c r="R45" i="25"/>
  <c r="J45" i="25"/>
  <c r="F45" i="25"/>
  <c r="R44" i="25"/>
  <c r="J44" i="25"/>
  <c r="F44" i="25"/>
  <c r="R43" i="25"/>
  <c r="J43" i="25"/>
  <c r="F43" i="25"/>
  <c r="R42" i="25"/>
  <c r="J42" i="25"/>
  <c r="F42" i="25"/>
  <c r="R41" i="25"/>
  <c r="J41" i="25"/>
  <c r="F41" i="25"/>
  <c r="R40" i="25"/>
  <c r="J40" i="25"/>
  <c r="F40" i="25"/>
  <c r="R39" i="25"/>
  <c r="J39" i="25"/>
  <c r="F39" i="25"/>
  <c r="R38" i="25"/>
  <c r="J38" i="25"/>
  <c r="F38" i="25"/>
  <c r="R37" i="25"/>
  <c r="J37" i="25"/>
  <c r="F37" i="25"/>
  <c r="R36" i="25"/>
  <c r="J36" i="25"/>
  <c r="F36" i="25"/>
  <c r="R35" i="25"/>
  <c r="J35" i="25"/>
  <c r="F35" i="25"/>
  <c r="R34" i="25"/>
  <c r="J34" i="25"/>
  <c r="F34" i="25"/>
  <c r="R33" i="25"/>
  <c r="J33" i="25"/>
  <c r="F33" i="25"/>
  <c r="R32" i="25"/>
  <c r="J32" i="25"/>
  <c r="F32" i="25"/>
  <c r="R31" i="25"/>
  <c r="J31" i="25"/>
  <c r="F31" i="25"/>
  <c r="R30" i="25"/>
  <c r="J30" i="25"/>
  <c r="F30" i="25"/>
  <c r="R29" i="25"/>
  <c r="J29" i="25"/>
  <c r="F29" i="25"/>
  <c r="R28" i="25"/>
  <c r="J28" i="25"/>
  <c r="F28" i="25"/>
  <c r="R27" i="25"/>
  <c r="J27" i="25"/>
  <c r="F27" i="25"/>
  <c r="R26" i="25"/>
  <c r="J26" i="25"/>
  <c r="F26" i="25"/>
  <c r="R25" i="25"/>
  <c r="J25" i="25"/>
  <c r="F25" i="25"/>
  <c r="R24" i="25"/>
  <c r="J24" i="25"/>
  <c r="F24" i="25"/>
  <c r="R23" i="25"/>
  <c r="J23" i="25"/>
  <c r="F23" i="25"/>
  <c r="V22" i="25"/>
  <c r="R22" i="25"/>
  <c r="J22" i="25"/>
  <c r="F22" i="25"/>
  <c r="V21" i="25"/>
  <c r="R21" i="25"/>
  <c r="J21" i="25"/>
  <c r="F21" i="25"/>
  <c r="V20" i="25"/>
  <c r="R20" i="25"/>
  <c r="J20" i="25"/>
  <c r="F20" i="25"/>
  <c r="V19" i="25"/>
  <c r="R19" i="25"/>
  <c r="J19" i="25"/>
  <c r="F19" i="25"/>
  <c r="V18" i="25"/>
  <c r="R18" i="25"/>
  <c r="J18" i="25"/>
  <c r="F18" i="25"/>
  <c r="V17" i="25"/>
  <c r="R17" i="25"/>
  <c r="J17" i="25"/>
  <c r="F17" i="25"/>
  <c r="V16" i="25"/>
  <c r="R16" i="25"/>
  <c r="J16" i="25"/>
  <c r="F16" i="25"/>
  <c r="V15" i="25"/>
  <c r="R15" i="25"/>
  <c r="J15" i="25"/>
  <c r="F15" i="25"/>
  <c r="V14" i="25"/>
  <c r="R14" i="25"/>
  <c r="J14" i="25"/>
  <c r="F14" i="25"/>
  <c r="V13" i="25"/>
  <c r="R13" i="25"/>
  <c r="J13" i="25"/>
  <c r="F13" i="25"/>
  <c r="V12" i="25"/>
  <c r="R12" i="25"/>
  <c r="M12" i="25"/>
  <c r="J12" i="25"/>
  <c r="F12" i="25"/>
  <c r="A12" i="25"/>
  <c r="V11" i="25"/>
  <c r="R11" i="25"/>
  <c r="M11" i="25"/>
  <c r="J11" i="25"/>
  <c r="F11" i="25"/>
  <c r="A11" i="25"/>
  <c r="V10" i="25"/>
  <c r="R10" i="25"/>
  <c r="M10" i="25"/>
  <c r="J10" i="25"/>
  <c r="F10" i="25"/>
  <c r="A10" i="25"/>
  <c r="V9" i="25"/>
  <c r="R9" i="25"/>
  <c r="M9" i="25"/>
  <c r="J9" i="25"/>
  <c r="F9" i="25"/>
  <c r="A9" i="25"/>
  <c r="V8" i="25"/>
  <c r="R8" i="25"/>
  <c r="M8" i="25"/>
  <c r="J8" i="25"/>
  <c r="F8" i="25"/>
  <c r="A8" i="25"/>
  <c r="V7" i="25"/>
  <c r="R7" i="25"/>
  <c r="M7" i="25"/>
  <c r="J7" i="25"/>
  <c r="F7" i="25"/>
  <c r="A7" i="25"/>
  <c r="V6" i="25"/>
  <c r="R6" i="25"/>
  <c r="M6" i="25"/>
  <c r="J6" i="25"/>
  <c r="F6" i="25"/>
  <c r="A6" i="25"/>
  <c r="V5" i="25"/>
  <c r="R5" i="25"/>
  <c r="M5" i="25"/>
  <c r="J5" i="25"/>
  <c r="F5" i="25"/>
  <c r="A5" i="25"/>
  <c r="V4" i="25"/>
  <c r="R4" i="25"/>
  <c r="M4" i="25"/>
  <c r="J4" i="25"/>
  <c r="F4" i="25"/>
  <c r="A4" i="25"/>
  <c r="V3" i="25"/>
  <c r="R3" i="25"/>
  <c r="M3" i="25"/>
  <c r="J3" i="25"/>
  <c r="F3" i="25"/>
  <c r="A3" i="25"/>
  <c r="V65" i="24"/>
  <c r="J65" i="24"/>
  <c r="V64" i="24"/>
  <c r="J64" i="24"/>
  <c r="V63" i="24"/>
  <c r="J63" i="24"/>
  <c r="V62" i="24"/>
  <c r="J62" i="24"/>
  <c r="V61" i="24"/>
  <c r="J61" i="24"/>
  <c r="V60" i="24"/>
  <c r="J60" i="24"/>
  <c r="V59" i="24"/>
  <c r="J59" i="24"/>
  <c r="V58" i="24"/>
  <c r="J58" i="24"/>
  <c r="V57" i="24"/>
  <c r="J57" i="24"/>
  <c r="V56" i="24"/>
  <c r="J56" i="24"/>
  <c r="V55" i="24"/>
  <c r="J55" i="24"/>
  <c r="V54" i="24"/>
  <c r="J54" i="24"/>
  <c r="V53" i="24"/>
  <c r="J53" i="24"/>
  <c r="V52" i="24"/>
  <c r="J52" i="24"/>
  <c r="V51" i="24"/>
  <c r="R51" i="24"/>
  <c r="J51" i="24"/>
  <c r="F51" i="24"/>
  <c r="V50" i="24"/>
  <c r="R50" i="24"/>
  <c r="J50" i="24"/>
  <c r="F50" i="24"/>
  <c r="V49" i="24"/>
  <c r="R49" i="24"/>
  <c r="J49" i="24"/>
  <c r="F49" i="24"/>
  <c r="V48" i="24"/>
  <c r="R48" i="24"/>
  <c r="J48" i="24"/>
  <c r="F48" i="24"/>
  <c r="V47" i="24"/>
  <c r="R47" i="24"/>
  <c r="J47" i="24"/>
  <c r="F47" i="24"/>
  <c r="R46" i="24"/>
  <c r="J46" i="24"/>
  <c r="F46" i="24"/>
  <c r="R45" i="24"/>
  <c r="J45" i="24"/>
  <c r="F45" i="24"/>
  <c r="R44" i="24"/>
  <c r="J44" i="24"/>
  <c r="F44" i="24"/>
  <c r="R43" i="24"/>
  <c r="J43" i="24"/>
  <c r="F43" i="24"/>
  <c r="R42" i="24"/>
  <c r="J42" i="24"/>
  <c r="F42" i="24"/>
  <c r="R41" i="24"/>
  <c r="J41" i="24"/>
  <c r="F41" i="24"/>
  <c r="R40" i="24"/>
  <c r="J40" i="24"/>
  <c r="F40" i="24"/>
  <c r="R39" i="24"/>
  <c r="J39" i="24"/>
  <c r="F39" i="24"/>
  <c r="R38" i="24"/>
  <c r="J38" i="24"/>
  <c r="F38" i="24"/>
  <c r="R37" i="24"/>
  <c r="J37" i="24"/>
  <c r="F37" i="24"/>
  <c r="R36" i="24"/>
  <c r="J36" i="24"/>
  <c r="F36" i="24"/>
  <c r="R35" i="24"/>
  <c r="J35" i="24"/>
  <c r="F35" i="24"/>
  <c r="R34" i="24"/>
  <c r="J34" i="24"/>
  <c r="F34" i="24"/>
  <c r="R33" i="24"/>
  <c r="J33" i="24"/>
  <c r="F33" i="24"/>
  <c r="R32" i="24"/>
  <c r="J32" i="24"/>
  <c r="F32" i="24"/>
  <c r="R31" i="24"/>
  <c r="J31" i="24"/>
  <c r="F31" i="24"/>
  <c r="R30" i="24"/>
  <c r="J30" i="24"/>
  <c r="F30" i="24"/>
  <c r="R29" i="24"/>
  <c r="J29" i="24"/>
  <c r="F29" i="24"/>
  <c r="R28" i="24"/>
  <c r="J28" i="24"/>
  <c r="F28" i="24"/>
  <c r="R27" i="24"/>
  <c r="J27" i="24"/>
  <c r="F27" i="24"/>
  <c r="R26" i="24"/>
  <c r="J26" i="24"/>
  <c r="F26" i="24"/>
  <c r="R25" i="24"/>
  <c r="J25" i="24"/>
  <c r="F25" i="24"/>
  <c r="R24" i="24"/>
  <c r="J24" i="24"/>
  <c r="F24" i="24"/>
  <c r="R23" i="24"/>
  <c r="J23" i="24"/>
  <c r="F23" i="24"/>
  <c r="V22" i="24"/>
  <c r="R22" i="24"/>
  <c r="J22" i="24"/>
  <c r="F22" i="24"/>
  <c r="V21" i="24"/>
  <c r="R21" i="24"/>
  <c r="J21" i="24"/>
  <c r="F21" i="24"/>
  <c r="V20" i="24"/>
  <c r="R20" i="24"/>
  <c r="J20" i="24"/>
  <c r="F20" i="24"/>
  <c r="V19" i="24"/>
  <c r="R19" i="24"/>
  <c r="J19" i="24"/>
  <c r="F19" i="24"/>
  <c r="V18" i="24"/>
  <c r="R18" i="24"/>
  <c r="J18" i="24"/>
  <c r="F18" i="24"/>
  <c r="V17" i="24"/>
  <c r="R17" i="24"/>
  <c r="J17" i="24"/>
  <c r="F17" i="24"/>
  <c r="V16" i="24"/>
  <c r="R16" i="24"/>
  <c r="J16" i="24"/>
  <c r="F16" i="24"/>
  <c r="V15" i="24"/>
  <c r="R15" i="24"/>
  <c r="J15" i="24"/>
  <c r="F15" i="24"/>
  <c r="V14" i="24"/>
  <c r="R14" i="24"/>
  <c r="J14" i="24"/>
  <c r="F14" i="24"/>
  <c r="V13" i="24"/>
  <c r="R13" i="24"/>
  <c r="J13" i="24"/>
  <c r="F13" i="24"/>
  <c r="V12" i="24"/>
  <c r="R12" i="24"/>
  <c r="M12" i="24"/>
  <c r="J12" i="24"/>
  <c r="F12" i="24"/>
  <c r="A12" i="24"/>
  <c r="V11" i="24"/>
  <c r="R11" i="24"/>
  <c r="M11" i="24"/>
  <c r="J11" i="24"/>
  <c r="F11" i="24"/>
  <c r="A11" i="24"/>
  <c r="V10" i="24"/>
  <c r="R10" i="24"/>
  <c r="M10" i="24"/>
  <c r="J10" i="24"/>
  <c r="F10" i="24"/>
  <c r="A10" i="24"/>
  <c r="V9" i="24"/>
  <c r="R9" i="24"/>
  <c r="M9" i="24"/>
  <c r="J9" i="24"/>
  <c r="F9" i="24"/>
  <c r="A9" i="24"/>
  <c r="V8" i="24"/>
  <c r="R8" i="24"/>
  <c r="M8" i="24"/>
  <c r="J8" i="24"/>
  <c r="F8" i="24"/>
  <c r="A8" i="24"/>
  <c r="V7" i="24"/>
  <c r="R7" i="24"/>
  <c r="M7" i="24"/>
  <c r="J7" i="24"/>
  <c r="F7" i="24"/>
  <c r="A7" i="24"/>
  <c r="V6" i="24"/>
  <c r="R6" i="24"/>
  <c r="M6" i="24"/>
  <c r="J6" i="24"/>
  <c r="F6" i="24"/>
  <c r="A6" i="24"/>
  <c r="V5" i="24"/>
  <c r="R5" i="24"/>
  <c r="M5" i="24"/>
  <c r="J5" i="24"/>
  <c r="F5" i="24"/>
  <c r="A5" i="24"/>
  <c r="V4" i="24"/>
  <c r="R4" i="24"/>
  <c r="M4" i="24"/>
  <c r="J4" i="24"/>
  <c r="F4" i="24"/>
  <c r="A4" i="24"/>
  <c r="V3" i="24"/>
  <c r="R3" i="24"/>
  <c r="M3" i="24"/>
  <c r="J3" i="24"/>
  <c r="F3" i="24"/>
  <c r="A3" i="24"/>
  <c r="V65" i="18"/>
  <c r="J65" i="18"/>
  <c r="V64" i="18"/>
  <c r="J64" i="18"/>
  <c r="V63" i="18"/>
  <c r="J63" i="18"/>
  <c r="V62" i="18"/>
  <c r="J62" i="18"/>
  <c r="V61" i="18"/>
  <c r="J61" i="18"/>
  <c r="V60" i="18"/>
  <c r="J60" i="18"/>
  <c r="V59" i="18"/>
  <c r="J59" i="18"/>
  <c r="V58" i="18"/>
  <c r="J58" i="18"/>
  <c r="V57" i="18"/>
  <c r="J57" i="18"/>
  <c r="V56" i="18"/>
  <c r="J56" i="18"/>
  <c r="V55" i="18"/>
  <c r="J55" i="18"/>
  <c r="V54" i="18"/>
  <c r="J54" i="18"/>
  <c r="V53" i="18"/>
  <c r="J53" i="18"/>
  <c r="V52" i="18"/>
  <c r="J52" i="18"/>
  <c r="V51" i="18"/>
  <c r="R51" i="18"/>
  <c r="J51" i="18"/>
  <c r="F51" i="18"/>
  <c r="V50" i="18"/>
  <c r="R50" i="18"/>
  <c r="J50" i="18"/>
  <c r="F50" i="18"/>
  <c r="V49" i="18"/>
  <c r="R49" i="18"/>
  <c r="J49" i="18"/>
  <c r="F49" i="18"/>
  <c r="V48" i="18"/>
  <c r="R48" i="18"/>
  <c r="J48" i="18"/>
  <c r="F48" i="18"/>
  <c r="V47" i="18"/>
  <c r="R47" i="18"/>
  <c r="J47" i="18"/>
  <c r="F47" i="18"/>
  <c r="R46" i="18"/>
  <c r="J46" i="18"/>
  <c r="F46" i="18"/>
  <c r="R45" i="18"/>
  <c r="J45" i="18"/>
  <c r="F45" i="18"/>
  <c r="R44" i="18"/>
  <c r="J44" i="18"/>
  <c r="F44" i="18"/>
  <c r="R43" i="18"/>
  <c r="J43" i="18"/>
  <c r="F43" i="18"/>
  <c r="R42" i="18"/>
  <c r="J42" i="18"/>
  <c r="F42" i="18"/>
  <c r="R41" i="18"/>
  <c r="J41" i="18"/>
  <c r="F41" i="18"/>
  <c r="R40" i="18"/>
  <c r="J40" i="18"/>
  <c r="F40" i="18"/>
  <c r="R39" i="18"/>
  <c r="J39" i="18"/>
  <c r="F39" i="18"/>
  <c r="R38" i="18"/>
  <c r="J38" i="18"/>
  <c r="F38" i="18"/>
  <c r="R37" i="18"/>
  <c r="J37" i="18"/>
  <c r="F37" i="18"/>
  <c r="R36" i="18"/>
  <c r="J36" i="18"/>
  <c r="F36" i="18"/>
  <c r="R35" i="18"/>
  <c r="J35" i="18"/>
  <c r="F35" i="18"/>
  <c r="R34" i="18"/>
  <c r="J34" i="18"/>
  <c r="F34" i="18"/>
  <c r="R33" i="18"/>
  <c r="J33" i="18"/>
  <c r="F33" i="18"/>
  <c r="R32" i="18"/>
  <c r="J32" i="18"/>
  <c r="F32" i="18"/>
  <c r="R31" i="18"/>
  <c r="J31" i="18"/>
  <c r="F31" i="18"/>
  <c r="R30" i="18"/>
  <c r="J30" i="18"/>
  <c r="F30" i="18"/>
  <c r="R29" i="18"/>
  <c r="J29" i="18"/>
  <c r="F29" i="18"/>
  <c r="R28" i="18"/>
  <c r="J28" i="18"/>
  <c r="F28" i="18"/>
  <c r="R27" i="18"/>
  <c r="J27" i="18"/>
  <c r="F27" i="18"/>
  <c r="R26" i="18"/>
  <c r="J26" i="18"/>
  <c r="F26" i="18"/>
  <c r="R25" i="18"/>
  <c r="J25" i="18"/>
  <c r="F25" i="18"/>
  <c r="R24" i="18"/>
  <c r="J24" i="18"/>
  <c r="F24" i="18"/>
  <c r="R23" i="18"/>
  <c r="J23" i="18"/>
  <c r="F23" i="18"/>
  <c r="V22" i="18"/>
  <c r="R22" i="18"/>
  <c r="J22" i="18"/>
  <c r="F22" i="18"/>
  <c r="V21" i="18"/>
  <c r="R21" i="18"/>
  <c r="J21" i="18"/>
  <c r="F21" i="18"/>
  <c r="V20" i="18"/>
  <c r="R20" i="18"/>
  <c r="J20" i="18"/>
  <c r="F20" i="18"/>
  <c r="V19" i="18"/>
  <c r="R19" i="18"/>
  <c r="J19" i="18"/>
  <c r="F19" i="18"/>
  <c r="V18" i="18"/>
  <c r="R18" i="18"/>
  <c r="J18" i="18"/>
  <c r="F18" i="18"/>
  <c r="V17" i="18"/>
  <c r="R17" i="18"/>
  <c r="J17" i="18"/>
  <c r="F17" i="18"/>
  <c r="V16" i="18"/>
  <c r="R16" i="18"/>
  <c r="J16" i="18"/>
  <c r="F16" i="18"/>
  <c r="V15" i="18"/>
  <c r="R15" i="18"/>
  <c r="J15" i="18"/>
  <c r="F15" i="18"/>
  <c r="V14" i="18"/>
  <c r="R14" i="18"/>
  <c r="J14" i="18"/>
  <c r="F14" i="18"/>
  <c r="V13" i="18"/>
  <c r="R13" i="18"/>
  <c r="J13" i="18"/>
  <c r="F13" i="18"/>
  <c r="V12" i="18"/>
  <c r="R12" i="18"/>
  <c r="M12" i="18"/>
  <c r="J12" i="18"/>
  <c r="F12" i="18"/>
  <c r="A12" i="18"/>
  <c r="V11" i="18"/>
  <c r="R11" i="18"/>
  <c r="M11" i="18"/>
  <c r="J11" i="18"/>
  <c r="F11" i="18"/>
  <c r="A11" i="18"/>
  <c r="V10" i="18"/>
  <c r="R10" i="18"/>
  <c r="M10" i="18"/>
  <c r="J10" i="18"/>
  <c r="F10" i="18"/>
  <c r="A10" i="18"/>
  <c r="V9" i="18"/>
  <c r="R9" i="18"/>
  <c r="M9" i="18"/>
  <c r="J9" i="18"/>
  <c r="F9" i="18"/>
  <c r="A9" i="18"/>
  <c r="V8" i="18"/>
  <c r="R8" i="18"/>
  <c r="M8" i="18"/>
  <c r="J8" i="18"/>
  <c r="F8" i="18"/>
  <c r="A8" i="18"/>
  <c r="V7" i="18"/>
  <c r="R7" i="18"/>
  <c r="M7" i="18"/>
  <c r="J7" i="18"/>
  <c r="F7" i="18"/>
  <c r="A7" i="18"/>
  <c r="V6" i="18"/>
  <c r="R6" i="18"/>
  <c r="M6" i="18"/>
  <c r="J6" i="18"/>
  <c r="F6" i="18"/>
  <c r="A6" i="18"/>
  <c r="V5" i="18"/>
  <c r="R5" i="18"/>
  <c r="M5" i="18"/>
  <c r="J5" i="18"/>
  <c r="F5" i="18"/>
  <c r="A5" i="18"/>
  <c r="V4" i="18"/>
  <c r="R4" i="18"/>
  <c r="M4" i="18"/>
  <c r="J4" i="18"/>
  <c r="F4" i="18"/>
  <c r="A4" i="18"/>
  <c r="V3" i="18"/>
  <c r="R3" i="18"/>
  <c r="M3" i="18"/>
  <c r="J3" i="18"/>
  <c r="F3" i="18"/>
  <c r="A3" i="18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47" i="1"/>
  <c r="V48" i="1"/>
  <c r="V49" i="1"/>
  <c r="V50" i="1"/>
  <c r="V51" i="1"/>
  <c r="V52" i="1"/>
  <c r="V53" i="1"/>
  <c r="V54" i="1"/>
  <c r="V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3" i="1"/>
  <c r="M3" i="1"/>
  <c r="F3" i="1"/>
  <c r="J3" i="1"/>
  <c r="V65" i="1"/>
  <c r="V64" i="1"/>
  <c r="V63" i="1"/>
  <c r="V62" i="1"/>
  <c r="V61" i="1"/>
  <c r="V60" i="1"/>
  <c r="V59" i="1"/>
  <c r="V58" i="1"/>
  <c r="V57" i="1"/>
  <c r="V56" i="1"/>
  <c r="V55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M5" i="1"/>
  <c r="M4" i="1"/>
  <c r="F5" i="1"/>
  <c r="A3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4" i="1"/>
  <c r="J5" i="1"/>
  <c r="J6" i="1"/>
  <c r="F4" i="1"/>
  <c r="F6" i="1"/>
  <c r="F7" i="1"/>
  <c r="A4" i="1"/>
  <c r="A5" i="1"/>
  <c r="A6" i="1"/>
  <c r="A7" i="1"/>
  <c r="A8" i="1"/>
  <c r="A9" i="1"/>
  <c r="A10" i="1"/>
  <c r="A11" i="1"/>
  <c r="A12" i="1"/>
</calcChain>
</file>

<file path=xl/sharedStrings.xml><?xml version="1.0" encoding="utf-8"?>
<sst xmlns="http://schemas.openxmlformats.org/spreadsheetml/2006/main" count="1669" uniqueCount="368">
  <si>
    <t>CAUSAS Y EFECTOS DIRECTOS</t>
  </si>
  <si>
    <t>CAUSAS INDIRECTAS</t>
  </si>
  <si>
    <t>EFECTOS INDIRECTOS</t>
  </si>
  <si>
    <t>Objetivo Medio y fin directo</t>
  </si>
  <si>
    <t>MEDIOS INDIRECTOS</t>
  </si>
  <si>
    <t>FINES INDIRECTOS</t>
  </si>
  <si>
    <t>ID CAUSA</t>
  </si>
  <si>
    <t>Descripción de la Causa</t>
  </si>
  <si>
    <t>Descripción del Ef. directoD</t>
  </si>
  <si>
    <t>ID Causa</t>
  </si>
  <si>
    <t>ID CAUSA INDIRECTA</t>
  </si>
  <si>
    <t>Descripción de la Causa indirecta</t>
  </si>
  <si>
    <t>ID EFECTO INDIRECTO</t>
  </si>
  <si>
    <t>Descripción del Ef. Indirecto</t>
  </si>
  <si>
    <t>ID OBJETIVO</t>
  </si>
  <si>
    <t>Descripción del Objetivo</t>
  </si>
  <si>
    <t>Descripción del Fin Directo</t>
  </si>
  <si>
    <t>ID MEDIO INDIRECTO</t>
  </si>
  <si>
    <t>Descripción del Medio indirecto</t>
  </si>
  <si>
    <t>ID FIN INDIRECTO</t>
  </si>
  <si>
    <t>Descripción del Fin Indirecto</t>
  </si>
  <si>
    <t>Insuficiente marco institucional para la gestión integral del ciclo de vida de los datos.</t>
  </si>
  <si>
    <t>Desconocimiento de normativas claras en la definición de roles y responsabilidades en la gestión de datos.</t>
  </si>
  <si>
    <t>C1</t>
  </si>
  <si>
    <t>Desactualización de políticas, lineamientos y procedimientos de gestión de datos.</t>
  </si>
  <si>
    <t>Deficiente integración en los flujos de información y procedimientos  entre áreas, provocando errores y reprocesos.</t>
  </si>
  <si>
    <t>Fortalecer el marco institucional para gestionar de manera integral el ciclo de vida de los datos.</t>
  </si>
  <si>
    <t>Disposición de un marco institucional sólido y actualizado que garantice la trazabilidad, calidad y seguridad de los datos.</t>
  </si>
  <si>
    <t>O1</t>
  </si>
  <si>
    <t>Promover una cultura organizacional orientada al uso estratégico de los datos.</t>
  </si>
  <si>
    <t>Consolidación de una gestión institucional basada en datos, que promueva eficiencia, transparencia y rendición de cuentas.</t>
  </si>
  <si>
    <t>Limitadas capacidades técnicas y estratégicas en la gestión y gobernanza de datos.</t>
  </si>
  <si>
    <t>Dispersión de habilidades y capacidades en la innovación en el uso y aprovechamiento de datos.</t>
  </si>
  <si>
    <t>Poca adopción de mecanismos en la evaluación y actualización periódica de los instrumentos de gestión de datos.</t>
  </si>
  <si>
    <t>C2</t>
  </si>
  <si>
    <t>Limitada mejora en la gobernanza y gestión de datos.</t>
  </si>
  <si>
    <t>Potenciar las capacidades técnicas y estratégicas para la gestión y gobernanza de datos.</t>
  </si>
  <si>
    <t>Aumento de las capacidades técnicas y estratégicas de la entidad en gestión y aprovechamiento de datos en procesos misionales y de planeación.</t>
  </si>
  <si>
    <t>O2</t>
  </si>
  <si>
    <t>Fomentar programas de formación, e identificación de necesidades técnicas.</t>
  </si>
  <si>
    <t>Fortalecimiento del valor público derivado del uso estratégico y ético de los datos en la toma de decisiones.</t>
  </si>
  <si>
    <t>Débil articulación entre las áreas técnicas, misionales y de planeación institucional.</t>
  </si>
  <si>
    <t>Deficiente comunicación entre áreas que dificulta la coordinación en la gobernanza de los datos.</t>
  </si>
  <si>
    <t>Baja asignación de recursos tecnológicos y presupuestales en el fortalecimiento de capacidades técnicas y talento humano.</t>
  </si>
  <si>
    <t>C3</t>
  </si>
  <si>
    <t>Bajos niveles de colaboración que impide una visión unificada y confiable en  la toma de decisiones.</t>
  </si>
  <si>
    <t>Consolidar el liderazgo institucional que oriente políticas y marcos de gobernanza de datos.</t>
  </si>
  <si>
    <t>Aseguramiento de la articulación institucional y la orientación estratégica de las políticas de gobernanza de datos para la generación de valor público.</t>
  </si>
  <si>
    <t>O3</t>
  </si>
  <si>
    <t>Impulsar mecanismos de coordinación institucional.</t>
  </si>
  <si>
    <t>Fortalecimiento del ecosistema nacional de datos, mediante una gobernanza sólida, articulada y sostenible.</t>
  </si>
  <si>
    <t>Escasa formación especializada en gestión de datos e interoperabilidad en las áreas responsables.</t>
  </si>
  <si>
    <t>O4</t>
  </si>
  <si>
    <t>Poca efectividad en los canales de coordinación institucional en la gestión de datos compartidos.</t>
  </si>
  <si>
    <t>O5</t>
  </si>
  <si>
    <t>Débil liderazgo en la integración de  los datos en la toma de decisiones.</t>
  </si>
  <si>
    <t>O6</t>
  </si>
  <si>
    <t>O7</t>
  </si>
  <si>
    <t>O8</t>
  </si>
  <si>
    <t>O9</t>
  </si>
  <si>
    <t>O10</t>
  </si>
  <si>
    <t/>
  </si>
  <si>
    <t>Baja identificación y funcionalidad de las herramientas tecnológicas institucionales disponibles en gestión de datos de calidad.</t>
  </si>
  <si>
    <t>Barreras operativas en la gestión de los datos por el uso de herramientas obsoletas, no escalables y sin soporte técnico.</t>
  </si>
  <si>
    <t>Identificación insuficiente de necesidades tecnológicas requeridas en el funcionamiento del ciclo de vida de los datos.</t>
  </si>
  <si>
    <t>Pérdida de eficiencia institucional y menor aprovechamiento de los datos en la gestión y planeación estratégica.</t>
  </si>
  <si>
    <t>Actualizar, modernizar y adoptar soluciones tecnológicas que respondan a las necesidades de gestión de datos de la entidad pública.</t>
  </si>
  <si>
    <t>Disposición de herramientas actualizadas, sostenibles y alineadas con las necesidades institucionales.</t>
  </si>
  <si>
    <t>Establecer mecanismos orientados a la identificación de necesidades tecnológicas y a la definición de políticas y procesos de adopción y evaluación.</t>
  </si>
  <si>
    <t>Fortalecimiento de la infraestructura tecnológica institucional para la gestión de datos.</t>
  </si>
  <si>
    <t>Limitadas capacidades técnicas y tecnológicas para la gestión, uso e intercambio de datos</t>
  </si>
  <si>
    <t>Discontinuidad en los procesos de gestión de datos por la falta de capacidades técnicas en la operación  y adopción de soluciones tecnológicas.</t>
  </si>
  <si>
    <t>Limitada disponibilidad de procesos y politicas en la definición y evaluación de herramientas tecnológicas.</t>
  </si>
  <si>
    <t>Uso limitado de los datos en procesos analíticos y estratégicos debido a deficiencias tecnológicas.</t>
  </si>
  <si>
    <t>Desarrollar capacidades técnicas para identificar, evaluar e implementar herramientas adecuadas en la gestión del ciclo de vida de los datos.</t>
  </si>
  <si>
    <t>Sostenibilidad y evolución de las capacidades tecnológicas institucionales para una gestión de datos eficiente y adaptable a nuevas necesidades.</t>
  </si>
  <si>
    <t>Implementar programas de fortalecimiento de competencias técnicas para el uso y gestión de herramientas tecnológicas.</t>
  </si>
  <si>
    <t>Incremento en la eficiencia institucional y en la calidad de los datos utilizados para la toma de decisiones.</t>
  </si>
  <si>
    <t>Débil planificación institucional y presupuestal en la adquisición, actualización y mantenimiento de herramientas tecnológicas.</t>
  </si>
  <si>
    <t>Rezago en la modernización tecnológica y en la consolidación de una gestión pública basada en datos.</t>
  </si>
  <si>
    <t>Disponibilidad limitada de herramientas que fortalezcan el análisis y uso estratégico de los datos.</t>
  </si>
  <si>
    <t>Ineficiencia en la ejecución y seguimiento de proyectos misionales en la entidad pública</t>
  </si>
  <si>
    <t>Fortalecer la planificación institucional y presupuestal en la adquisición y sostenibilidad de las herramientas tecnológicas.</t>
  </si>
  <si>
    <t>Optimización en  los procesos institucionales mediante el uso eficiente e interoperable de herramientas técnicas y tecnológicas.</t>
  </si>
  <si>
    <t>Impulsar procesos de mantenimiento, actualización y soporte continuo de la infraestructura tecnológica institucional.</t>
  </si>
  <si>
    <t>Incremento en el aprovechamiento de los datos para la eficiencia institucional, la innovación y la generación de valor público.</t>
  </si>
  <si>
    <t xml:space="preserve">Bajo nivel de madurez e integración en los procesos de mantenimiento y soporte de los sistemas de información, infraestructura tecnológica y mecanismos de intercambio de datos. </t>
  </si>
  <si>
    <t>Escaso análisis de costo-beneficio  de herramientas tecnicas y tecnológicas  que apoyan  a  la toma de decisiones.</t>
  </si>
  <si>
    <t>Baja adopción de  procesos institucionales  en la evaluación y priorización de soluciones tecnológicas.</t>
  </si>
  <si>
    <t>Bajo nivel de cultura organizacional y gestión de cambio para la adopción de procesos de intercambio de datos.</t>
  </si>
  <si>
    <t>Limitada disponibilidad de datos estandarizados y de calidad que respalden la toma de decisiones y la prestación de servicios al ciudadano.</t>
  </si>
  <si>
    <t>Bajo entendimiento por parte de los directivos de la entidad sobre la importancia de la interoperabilidad de datos.</t>
  </si>
  <si>
    <t>Fallas en la calidad de la prestación de servicios al ciudadano e ineficiencia en la toma de decisiones de la entidad.</t>
  </si>
  <si>
    <t>Fortalecer la cultura organizacional y los procesos de gestión del cambio para la adopción de procesos de intercambio de datos.</t>
  </si>
  <si>
    <t>Disponibilidad de datos estandarizados y de calidad para la toma de decisiones y la prestación de servicios.</t>
  </si>
  <si>
    <t>Fomentar una cultura de gestión de cambio organizacional en equipos técnicos y directivos de la entidad.</t>
  </si>
  <si>
    <t>Eficiencia en la prestación de servicios al ciudadano y efectividad en la toma de decisiones basadas en datos.</t>
  </si>
  <si>
    <t xml:space="preserve">Bajo niveles de talento humano para la adopción de estándares y lineamientos de inteoperabilidad en la entidad pública. </t>
  </si>
  <si>
    <t>Limitaciones para la integración y reutilización eficiente de datos entre sistemas internos y con entidades externas.</t>
  </si>
  <si>
    <t>Resistencia al cambio organizacional para la adopción de mecanismos de información e interoperabilidad.</t>
  </si>
  <si>
    <t>Menor calidad, confiabilidad y oportunidad de los datos utilizados en procesos institucionales.</t>
  </si>
  <si>
    <t>Fortalecer las habilidades y compentencias del talento humano de la entidad para habilidar la adopción de la interoperabilidad y el intercambio de datos.</t>
  </si>
  <si>
    <t>Sistemas institucionales integrados y articulados con otras entidades, que permiten el aprovechamiento de datos interoperables para fortalecer el análisis, la toma de decisiones basadas en datos.</t>
  </si>
  <si>
    <t>Desarrollar programas de formación y capacitación del talento humano relacionado con lineamientos y guías de inteoperabilidad.</t>
  </si>
  <si>
    <t>Procesos institucionales fortalecidos mediante el uso de datos interoperables, oportunos y de calidad que respaldan una gestión pública más eficiente.</t>
  </si>
  <si>
    <t>Capacidad tecnológica limitada para implementar estándares y desarrollar mecanismos de intercambio de información e interoperabilidad.</t>
  </si>
  <si>
    <t>Inefiencia operativa y administrativa en la entidad pública.</t>
  </si>
  <si>
    <t xml:space="preserve">Rezago de habilidades y conocimientos del talento humano en relación con procesos, semánticas, normatividad y modelos tecnológicos requeridos para el desarrollo de la interoperabilidad. </t>
  </si>
  <si>
    <t>Reducción de la confianza en los datos de la entidad pública por parte de la ciudadanía y usuarios de información.</t>
  </si>
  <si>
    <t>Fortalecer las capacidades tecnológicas de la entidad para implementar estándares y mecanismos de interoperabilidad.</t>
  </si>
  <si>
    <t>Eficiencia operativa y administrativa en la entidad pública.</t>
  </si>
  <si>
    <t>Desarrollar políticas y mecanismos de renovación e integración tecnológica para el intercambio de datos.</t>
  </si>
  <si>
    <t>Aumento de la confianza de los datos de la entidad.</t>
  </si>
  <si>
    <t>Bajos niveles de formación y capacitación para el fortalecimiento de capacidades de talento humano relacionadas con interoperabilidad.</t>
  </si>
  <si>
    <t>Debilidad en las políticas y mecanismos de renovación tecnológica que genera obsolescencia en los sistemas de información y los mecanismos de intercambio de datos.</t>
  </si>
  <si>
    <t>Baja de integración de las tecnologías digitales encargadas del procesamiento e intercambio de datos.</t>
  </si>
  <si>
    <t>Debilidad en las políticas de preservación, seguridad y privacidad de la información.</t>
  </si>
  <si>
    <t xml:space="preserve">Pérdida de confianza por parte de ciudadanos y usuarios frente al uso institucional de sus datos personales. </t>
  </si>
  <si>
    <t xml:space="preserve">Escasa cultura e implementación de una estrategia de seguridad y privacidad de los datos. </t>
  </si>
  <si>
    <t>Bajo uso de los servicios y programas dispuestos por la entidad pública por la falta confianza de parte de la ciudadanía.</t>
  </si>
  <si>
    <t>Definir políticas y estandares para la seguridad y privacidad de la información.</t>
  </si>
  <si>
    <t xml:space="preserve">Incremento de la credibilidad institucional frente al cumplimiento de políticas de seguridad y privacidad de los datos. </t>
  </si>
  <si>
    <t xml:space="preserve">Fortalecer la cultura institucional en gestión de seguridad y privacidad de los datos para el desarrollo de una estrategia integral. </t>
  </si>
  <si>
    <t>Fortalecimiento del relacionamiento entre la entidad pública y la ciudadanía a través del uso activo de servicios públicos digitales.</t>
  </si>
  <si>
    <t xml:space="preserve">Limitada implementación de lineamientos de seguridad y privacidad de los datos. </t>
  </si>
  <si>
    <t xml:space="preserve">Aumento de la exposición a brechas de seguridad y filtraciones de información sensible. </t>
  </si>
  <si>
    <t xml:space="preserve">Limitada articulación institucional en la aplicación de políticas de seguridad y privacidad de los datos. </t>
  </si>
  <si>
    <t>Ampliación de sanciones legales y administrativas por incumplimiento de las obligaciones en materia de protección de datos y seguridad de la información.</t>
  </si>
  <si>
    <t xml:space="preserve">Desarrollar e implementar mecanismos, estándares y protocolos que garanticen la confidencialidad, privacidad y seguridad en el ciclo de vida de los datos. </t>
  </si>
  <si>
    <t xml:space="preserve">Reducción de la exposición a brechas de seguridad y prevención de filtraciones de información sensible. </t>
  </si>
  <si>
    <t>Elaborar y adoptar lineamientos en seguridad y privacidad de los datos en la entidad pública.</t>
  </si>
  <si>
    <t xml:space="preserve">Disminución de sanciones legales y administrativas sobre brechas de seguridad para la gestión de información sensible. </t>
  </si>
  <si>
    <t xml:space="preserve">Deficiente capacidad de respuesta y manejo ante incidentes de seguridad informática y vulneraciones de datos. </t>
  </si>
  <si>
    <t xml:space="preserve">Aumento de riesgos en la manipulación, pérdida o uso indebido de información crítica y datos gestionados. </t>
  </si>
  <si>
    <t xml:space="preserve">Baja identificación de mecanismos de aseguramiento en la confidencialidad, privacidad y seguridad en el ciclo de vida de los datos. </t>
  </si>
  <si>
    <t>Disminución de la calidad y confiabilidad de la información utilizada para la toma de decisiones institucionales.</t>
  </si>
  <si>
    <t xml:space="preserve">Mejorar capacidades de respuesta institucional ante incidentes de seguridad. </t>
  </si>
  <si>
    <t>Gestión segura y controlada de la información crítica sobre vulneraciones de datos.</t>
  </si>
  <si>
    <t xml:space="preserve">Fortalecer la gestión institucional en seguridad, privacidad, y capacidad de respuesta ante incidentes de datos. </t>
  </si>
  <si>
    <t xml:space="preserve">Optimización de los datos con calidad, confiabilidad y protección frente a incidentes internos y externos de datos gestionados. </t>
  </si>
  <si>
    <t>Deficiente implementación de controles de seguridad técnicos y organizacionales sobre la gestión de datos.</t>
  </si>
  <si>
    <t>Baja capacidad institucional en adopción de procesos y procedimientos de gestión de información crítica.</t>
  </si>
  <si>
    <t>Baja capacidad en cumplimiento de protocolos de respuesta a incidentes de seguridad sobre la gestión de los datos.</t>
  </si>
  <si>
    <t>Debilidad en el modelo de gobierno de datos que integre, actualice y disponga datos de calidad.</t>
  </si>
  <si>
    <t>Ineficiencia en la formulación y seguimiento de políticas públicas.</t>
  </si>
  <si>
    <t>Debilidad en la cultura de datos en la entidad pública que afecta la definición de estrategias y políticas de gobierno de datos.</t>
  </si>
  <si>
    <t>Limitada generación de valor público a partir del uso de datos.</t>
  </si>
  <si>
    <t>Fortalecer un modelo de gobierno de datos que integre, actualice y disponga los datos en la entidad pública.</t>
  </si>
  <si>
    <t>Mejoras en el diseño y formulación de políticas públicas.</t>
  </si>
  <si>
    <t>Fortalecer la cultura institucional de datos para promover prácticas sostenibles de gestión y asegurar la calidad, disponibilidad y uso estratégico de la información.</t>
  </si>
  <si>
    <t>Generación de valor público a partir del uso de datos mejorar la eficiencia, transparencia e innovación en la gestión pública.</t>
  </si>
  <si>
    <t>Limitada capacidad técnica y humana para identificar, gestionar, disponer y aprovechar los datos en la entidad pública.</t>
  </si>
  <si>
    <t>Inconsistencia en la calidad de los datos generados por la entidad pública.</t>
  </si>
  <si>
    <t>Debilidad del marco normativo e institucional interno que defina responsabilidades, flujos de trabajo ni estándares de calidad.</t>
  </si>
  <si>
    <t>Reducción de la confianza en los datos institucionales.</t>
  </si>
  <si>
    <t>Desarrollar las capacidades técnicas y humanas para identificar, gestionar, disponer y aprovechar los datos en la entidad pública.</t>
  </si>
  <si>
    <t>Calidad y uniformidad en los datos generados por la entidad.</t>
  </si>
  <si>
    <t>Aumentar la formación y fortalecimiento del talento humano para gestionar y disponer los datos en la entidad pública.</t>
  </si>
  <si>
    <t>Confianza en los datos institucionales garantizando su calidad, consistencia y disponibilidad.</t>
  </si>
  <si>
    <t>Falta de adopción de lineamientos normativos y técnicos sobre la calidad de los datos.</t>
  </si>
  <si>
    <t>Dificultad para tomar decisiones oportunas basadas en datos.</t>
  </si>
  <si>
    <t>Bajo nivel de inversión en formación y fortalecimiento del talento humano para gestionar y disponer los datos en la entidad pública.</t>
  </si>
  <si>
    <t>Aumento de la ineficiencia operativa y de sobrecostos en la entidad pública.</t>
  </si>
  <si>
    <t>Definir, implementar y adoptar lineamientos normativos y técnicos sobre calidad de los datos.</t>
  </si>
  <si>
    <t>Datos eficientes, automatizados y libres de errores.</t>
  </si>
  <si>
    <t>Definir mecanismos de seguimiento al cumplimiento de estándares de calidad.</t>
  </si>
  <si>
    <t>Toma de decisiones basadas en datos en la entidad pública.</t>
  </si>
  <si>
    <t>Debilidad en procesos automatizados y estandarizados para la gestión del ciclo de vida de los datos.</t>
  </si>
  <si>
    <t>Desarticulación entre áreas misionales y estratégicas en la gestión y uso de la información en la entidad pública.</t>
  </si>
  <si>
    <t>Los equipos no están sensibilizados sobre la importancia de producir y usar datos de calidad.</t>
  </si>
  <si>
    <t>C4</t>
  </si>
  <si>
    <t>Dificultad para implementar políticas públicas basadas en evidencia.</t>
  </si>
  <si>
    <t>Implementar procesos automatizados y estandarizados para la gestión del ciclo de vida de los datos.</t>
  </si>
  <si>
    <t>Articulación efectiva entre las áreas misionales y estratégicas para la gestión y uso de la información institucional.</t>
  </si>
  <si>
    <t>Definir estrategias para la adopción de tecnologías innovadoras para la calidad y gobernanza de datos.</t>
  </si>
  <si>
    <t>Implementación de políticas públicas basadas en evidencia.</t>
  </si>
  <si>
    <t>Falta de mecanismos de seguimiento al cumplimiento de estándares de calidad.</t>
  </si>
  <si>
    <t>Debilidad en la coordinación entre areas misionales y estratégicas de la entidad que dificulta la homogeneización de prácticas y adopción de lineamientos.</t>
  </si>
  <si>
    <t>Insuficiencia de recursos suficientes para actualizar plataformas y desarrollar soluciones de automatización.</t>
  </si>
  <si>
    <t>Bajo soporte de automatización y bajos flujos integrados para gestionar datos de forma continua.</t>
  </si>
  <si>
    <t xml:space="preserve">Baja cultura de datos en la entidad pública para tomar decisiones estratégicas, operativas y misionales basadas en los datos. </t>
  </si>
  <si>
    <t>Disminución de la confianza ciudadana en el desarrollo e implementación de iniciativas gubernamentales basadas en datos.</t>
  </si>
  <si>
    <t>Insuficiente liderazgo institucional y falta de una visión estratégica que reconozca el valor de los datos para la gestión y la toma de decisiones.</t>
  </si>
  <si>
    <t xml:space="preserve">Poca alineación entre las necesidades ciudadanas y las respuestas de la entidad pública. </t>
  </si>
  <si>
    <t xml:space="preserve">Promover una cultura organizacional orientada al uso estratégico, operativo y misional de los datos en la entidad pública. </t>
  </si>
  <si>
    <t>Fortalecimiento en la confianza institucional y participación de la ciudadanía en ejercicios e iniciativas adelantadas por la entidad pública basadas en datos.</t>
  </si>
  <si>
    <t>Fortalecer el liderazgo institucional con visión estratégica sobre el valor, uso y aprovechamiento de los datos como activo estratégico en la entidad pública.</t>
  </si>
  <si>
    <t>Mejoramiento en la capacidad de respuesta en la atención de necesidades de la ciudadanía mediante el uso estratégico de datos.</t>
  </si>
  <si>
    <t xml:space="preserve">Escasa planificación de ejercicios de innovación basados en datos. </t>
  </si>
  <si>
    <t>Baja efectividad en aplicación de políticas y soluciones innovadoras públicas en la entidad.</t>
  </si>
  <si>
    <t xml:space="preserve">Inadecuada definición de una estrategia institucional para el uso y aprovechamiento de los datos. </t>
  </si>
  <si>
    <t>Bajo cumplimiento de los objetivos misionales de la entidad pública asociados a las soluciones de innovación basadas en datos.</t>
  </si>
  <si>
    <t>Impulsar procesos de planificación e innovación institucional basados en el uso de datos.</t>
  </si>
  <si>
    <t xml:space="preserve">Mejoramiento en las soluciones de analítica de datos contextualizadas para ejercicios de innovación pública. </t>
  </si>
  <si>
    <t xml:space="preserve">Mejorar la calidad, disponibilidad y accesibilidad de los datos relevantes en la innovación y la generación de soluciones públicas. </t>
  </si>
  <si>
    <t>Mejoramiento en el resultado de los indicadores de la entidad pública en el uso y aprovechamiento de soluciones de innovación basadas en datos.</t>
  </si>
  <si>
    <t>Escaso desarrollo y utilización de modelos de analítica de datos, inteligencia artificial y tecnologías 4.0.</t>
  </si>
  <si>
    <t>Rezago institucional y de capacidades en innovación y adopción tecnológica.</t>
  </si>
  <si>
    <t>Deficiente identificación y aprovechamiento de las fuentes de datos disponibles en la entidad pública.</t>
  </si>
  <si>
    <t>Limitada competitividad de la entidad pública frente a desafíos complejos del sector.</t>
  </si>
  <si>
    <t>Fortalecer la infraestructura informática y de datos en el desarrollo, despliegue y mantenimiento de modelos analíticos, soluciones de inteligencia artificial y tecnologías de vanguardia en el sector público.</t>
  </si>
  <si>
    <t>Adaptabilidad de gestión institucional en materia de innovación y adopción tecnológica.</t>
  </si>
  <si>
    <t>Desarrollar capacidades técnicas y operativas para la gestión, integración y uso eficiente de la infraestructura informática y de datos en el desarrollo de soluciones basadas en IA.</t>
  </si>
  <si>
    <t>Mejora en el desempeño de la entidad pública en la resolución de desafíos complejos y prestación de servicios mediante la utilización de modelos de analítica de datos, inteligencia artificial y tecnologías 4.0.</t>
  </si>
  <si>
    <t>Limitada implementación y sistematización de casos de uso de datos dentro de los procesos institucionales.</t>
  </si>
  <si>
    <t>Limitada comprensión e implementación práctica de sistemas de inteligencia artificial basados en enfoques tecnológicos y de aprendizaje automático.</t>
  </si>
  <si>
    <t>Debilidad en la definición de procedimientos y políticas asociadas al desarrollo de soluciones tecnológicas basadas en datos de los modelos de analítica de datos, inteligencia artificial y tecnologías 4.0.</t>
  </si>
  <si>
    <t>Baja capacidad para procesamiento de modelos de aprendizaje automático.</t>
  </si>
  <si>
    <t>Retrasos en los ciclos de experimentación y despliegue.</t>
  </si>
  <si>
    <t>Limitada asignación presupuestal y lineamientos estratégicos desalineados que prioricen la inversión en hardware especializado (GPU/TPU).</t>
  </si>
  <si>
    <t>Disminución sostenida de la tasa de innovación.</t>
  </si>
  <si>
    <t>Implementar una plataforma de cómputo escalable para aprendizaje automático.</t>
  </si>
  <si>
    <t>Ciclos ágiles de experimentación y despliegue.</t>
  </si>
  <si>
    <t>Organizar y compartir capacidad de cómputo entre entidades públicas.</t>
  </si>
  <si>
    <t>Aceleración de la innovación pública y reducción de tiempos de respuesta en servicios al ciudadano.</t>
  </si>
  <si>
    <t>Baja disponibilidad de dispositivos de recolección y procesamiento de información (p.e. sensores y dispositivos IoT).</t>
  </si>
  <si>
    <t>Limitación en la complejidad y escala de los modelos implementables.</t>
  </si>
  <si>
    <t>Bajas alianzas estratégicas con universidades, centros de supercómputo o proveedores cloud que permitan acceso compartido a infraestructura de alto rendimiento.</t>
  </si>
  <si>
    <t>Predicciones de menor calidad y pérdida de confianza en las soluciones de IA.</t>
  </si>
  <si>
    <t>Ampliar y optimizar la red de recolección y preprocesamiento mediante dispositivos IoT/edge.</t>
  </si>
  <si>
    <t>Implementación de modelos de mayor complejidad y escala.</t>
  </si>
  <si>
    <t>Estandarizar y agilizar la adquisición de dispositivos de captura compatibles con IA.</t>
  </si>
  <si>
    <t>Mayor efectividad de las políticas públicas y ventaja competitiva digital del Estado.</t>
  </si>
  <si>
    <t>Baja capacidad de Hardware de infraestructura general (p.e. servidores y datacenters, soluciones de almacenamiento local, equipos de configuración de redes, entre otros).</t>
  </si>
  <si>
    <t>Insuficiente estandarización institucional y carencia de políticas adoptadas para despliegues IoT y edge computing.</t>
  </si>
  <si>
    <t>Modernizar la infraestructura de centros de datos y almacenamiento.</t>
  </si>
  <si>
    <t>Implementar un ciclo continuo de renovación de infraestructura con contratación ágil.</t>
  </si>
  <si>
    <t>Dependencia de esquemas de adquisición centralizados y lentos que dificultan la renovación tecnológica o la adopción de soluciones IoT emergentes.</t>
  </si>
  <si>
    <t>Rígidos  y prolongados procesos de adquisición y renovación tecnológica.</t>
  </si>
  <si>
    <t>Inadecuada definición de políticas institucionales de sostenilidad tecnológica y planificación de actualización de la infraestructura tecnológica.</t>
  </si>
  <si>
    <t>Insuficiente disponibilidad de dispositivos y/o servicios especializados de captura de datos.</t>
  </si>
  <si>
    <t>Modelos de IA con baja precisión y confiabilidad.</t>
  </si>
  <si>
    <t>Insuficiente planeación estratégica de infraestructura de datos y débil análisis de retorno de la inversión.</t>
  </si>
  <si>
    <t>Toma de decisiones deficiente y disminución de la confianza en la analítica dentro y fuera de la entidad.</t>
  </si>
  <si>
    <t>Dotar la entidad con dispositivos y/o servicios especializados de captura de datos (sensores, IoT, edge devices).</t>
  </si>
  <si>
    <t>Optimización de los costos operativos y del consumo de recursos.</t>
  </si>
  <si>
    <t>Generar condiciones necesarias para una adecuada operación en campo resiliente para la captura de datos</t>
  </si>
  <si>
    <t>Mayor sostenibilidad fiscal y capacidad de reinversión en innovación pública.</t>
  </si>
  <si>
    <t>Fragmentación de procesos de pre-procesamiento manuales.</t>
  </si>
  <si>
    <t>Demoras y sobrecostos en la puesta en marcha de proyectos de analítica e IA.</t>
  </si>
  <si>
    <t>Deficientes condiciones operativas y logísticas (baja energía/conectividad en campo, ambientes hostiles, costos de mantenimiento) que encarecen y retrasan el despliegue de dispositivos y/o servicios.</t>
  </si>
  <si>
    <t>Reducción de recursos disponibles y postergación de nuevas inversiones tecnológicas.</t>
  </si>
  <si>
    <t>Implementar flujos de preprocesamiento estandarizados, automáticos y trazables.</t>
  </si>
  <si>
    <t>Mejora de la calidad del servicio y aumento en la satisfacción del usuario.</t>
  </si>
  <si>
    <t>Consolidar una plataforma corporativa de ingeniería de datos y fortalecer el talento interno.</t>
  </si>
  <si>
    <t>Incremento de la confianza y uso de los canales digitales del Estado.</t>
  </si>
  <si>
    <t>Limitada conectividad e interoperabilidad entre fuentes de datos.</t>
  </si>
  <si>
    <t>Baja adopción de una política institucional de gobernanza y estandarización de datos.</t>
  </si>
  <si>
    <t>Mejorar la conectividad e interoperabilidad de las fuentes de datos.</t>
  </si>
  <si>
    <t>Establecer un marco de intercambio de datos seguro y conforme a políticas de minimización y retención.</t>
  </si>
  <si>
    <t>Déficit de herramientas y perfiles de ingeniería de datos que impiden automatizar y estandarizar transformaciones.</t>
  </si>
  <si>
    <t>Dependencia de sistemas legados y estándares propietarios sin una estrategia de integración institucional.</t>
  </si>
  <si>
    <t>Restricciones de seguridad y cumplimiento (protección de datos, falta de acuerdos de intercambio y evaluaciones de impacto) que limitan el intercambio y la exposición de APIs/servicios.</t>
  </si>
  <si>
    <t>Insuficiente infraestructura tecnológica y adecuación/disponibilidad de datos para el entrenamiento de modelos de IA.</t>
  </si>
  <si>
    <t>Escasa implementación de soluciones inteligentes para mejorar la eficiencia, calidad y/o cobertura de los procesos misionales.</t>
  </si>
  <si>
    <t>Priorización y asignación presupuestal desalineadas para la modernización de hardware y la gobernanza de datos.</t>
  </si>
  <si>
    <t>Persistencia de procesos manuales costosos y creciente insatisfacción ciudadana ante servicios percibidos como obsoletos.</t>
  </si>
  <si>
    <t>Aumentar la disponibilidad de infraestructura tecnológica y de datos para el entrenamiento de IA.</t>
  </si>
  <si>
    <t>Fortalecimiento en la implementación de soluciones inteligentes para mejorar la eficiencia, calidad y/o cobertura de los procesos misionales.</t>
  </si>
  <si>
    <t>Establecer una política de nube/híbrida y un marco de gestión de datos que permita acceso ágil y seguro a cómputo y datasets para entrenar modelos.</t>
  </si>
  <si>
    <t>Mejor servicio público y mayor confianza ciudadana.</t>
  </si>
  <si>
    <t>Débil capacidad técnica en modelos fundacionales, personalización, bibliotecas y marcos de desarrollo de IA aplicada al desarrollo de modelos de IA.</t>
  </si>
  <si>
    <t>Bajo aprovechamiento de la inteligencia artificial en la gestión de políticas públicas y toma de decisiones basadas en evidencia.</t>
  </si>
  <si>
    <t>Restricciones internas para el uso de nube y políticas de acceso y compartición de datos insuficientemente definidas (catálogos, metadatos, convenios).</t>
  </si>
  <si>
    <t>Políticas poco efectivas y uso ineficiente de recursos.</t>
  </si>
  <si>
    <t>Desarrollar competencias avanzadas en ciencia de datos y Machine Learning en el talento humano.</t>
  </si>
  <si>
    <t>Mayor aprovechamiento de la inteligencia artificial en la gestión de políticas públicas y la toma de decisiones basadas en evidencia.</t>
  </si>
  <si>
    <t>Lanzar alianzas con academia/industria y un esquema de tiempo protegido para I+D que aumente la exposición del equipo a casos reales y tecnologías de punta.</t>
  </si>
  <si>
    <t>Políticas más efectivas y equitativas con mejor asignación de recursos.</t>
  </si>
  <si>
    <t>Baja integración de procesos institucionales con el desarrollo de modelos de IA.</t>
  </si>
  <si>
    <t>Insuficiencia de salarios y planes de formación para atraer y retener talento especializado.</t>
  </si>
  <si>
    <t>Articular los procesos misionales con el ciclo de vida de los modelos de IA.</t>
  </si>
  <si>
    <t>Alinear incentivos e indicadores con la adopción de IA, en conjunto con la instalación de una PMO/Data Office.</t>
  </si>
  <si>
    <t>Baja exposición a proyectos reales, cargas operativas que limitan tiempo para I+D,  y escasas alianzas con academia e industria.</t>
  </si>
  <si>
    <t>Deficiente estructura organizacional y de marco de gobernanza transversal.</t>
  </si>
  <si>
    <t>Incentivos e indicadores no alineados con la adopción de IA, y ausencia de una PMO/Data Office que oriente la integración transversal.</t>
  </si>
  <si>
    <t>Inadecuada Infraestructura tecnológica para la puesta en producción de modelos.</t>
  </si>
  <si>
    <t>Bajo aprovechamiento de modelos de IA entrenados, generando pérdidas en inversión y oportunidades de innovación pública.</t>
  </si>
  <si>
    <t>Concentración de inversión de TI en sistemas heredados, sin planeación para entornos productivos escalables de IA.</t>
  </si>
  <si>
    <t>Desincentivo a futuras inversiones y pérdida de posibles fuentes de financiación externa, lo que amplía el rezago digital frente a otras entidades más innovadoras.</t>
  </si>
  <si>
    <t>Desplegar y operar entornos de producción resilientes para modelos de IA.</t>
  </si>
  <si>
    <t>Aprovechamiento efectivo de los modelos de IA entrenados para maximizar la inversión y fomentar la innovación pública.</t>
  </si>
  <si>
    <t>Modernizar la arquitectura hacia microservicios y contenedores.</t>
  </si>
  <si>
    <t>Impulso a la productividad estatal y atracción de nuevas fuentes de financiación y cooperación</t>
  </si>
  <si>
    <t>Limitada preparación de procesos institucionales en la integración de modelos en la operación o la prestación del servicio.</t>
  </si>
  <si>
    <t>Riesgos reputacionales, técnicos y éticos por la implementación inadecuada de modelos de IA.</t>
  </si>
  <si>
    <t>Desactualizada arquitectura y alta deuda técnica que dificultan contenedorización, microservicios y escalado para inferencia.</t>
  </si>
  <si>
    <t>Mayor indagación regulatoria y probables restricciones normativas adicionales.</t>
  </si>
  <si>
    <t>Integrar modelos de IA en los procesos operativos y de prestación de servicios.</t>
  </si>
  <si>
    <t>Implementación responsable y adecuada de modelos de IA, mitigando riesgos reputacionales, técnicos y éticos.</t>
  </si>
  <si>
    <t>Implantar entornos UAT/sandbox y un marco de validación controlada.</t>
  </si>
  <si>
    <t>Mayor legitimidad institucional y sostenibilidad regulatoria de la transformación digital pública.</t>
  </si>
  <si>
    <t>Bajas capacidades técnicas y operativas para mantener y adaptar modelos en entornos reales.</t>
  </si>
  <si>
    <t>Baja operatividad de gestión del cambio y prácticas DevOps/MLOps que vinculen áreas misionales y de TI.</t>
  </si>
  <si>
    <t>Desarrollar competencias técnicas y operativas en implementación y mantenimiento de modelos.</t>
  </si>
  <si>
    <t>Consolidar un equipo interno de MLOps con transferencia de conocimiento obligatoria.</t>
  </si>
  <si>
    <t>Baja disponibilidad de entornos UAT/sandbox y prácticas de validación (A/B, pruebas con datos sintéticos) para incorporar modelos con bajo riesgo.</t>
  </si>
  <si>
    <t>Exclusión de planes de formación y carrera en perfiles de operación y monitoreo de IA (MLOps).</t>
  </si>
  <si>
    <t>Alta rotación y dependencia de proveedores sin transferencia de conocimiento.</t>
  </si>
  <si>
    <t>Procesos misionales y administrativos altamente manuales y fragmentados.</t>
  </si>
  <si>
    <t>Aumento de costos operativos y sobrecarga de personal.</t>
  </si>
  <si>
    <t>Escasa automatización de tareas repetitivas, validaciones y toma de decisiones basadas en datos.</t>
  </si>
  <si>
    <t>Menor margen presupuestal para invertir en innovación y modernización.</t>
  </si>
  <si>
    <t>Optimizar procesos misionales y administrativos clave mediante soluciones de IA integrada.</t>
  </si>
  <si>
    <t>Reducción de costos operativos y disminución de la sobrecarga del personal.</t>
  </si>
  <si>
    <t>Actualizar normativa interna y rediseñar procesos “end-to-end” digitales.</t>
  </si>
  <si>
    <t>Mayor sostenibilidad presupuestal y capacidad de reinversión estratégica.</t>
  </si>
  <si>
    <t>Infraestructura y datos insuficientes para soluciones de IA.</t>
  </si>
  <si>
    <t>Baja satisfacción de usuarios internos y externos, con pérdida de confianza institucional.</t>
  </si>
  <si>
    <t>Normativa/procedimientos internos desactualizados con controles manuales obligatorios.</t>
  </si>
  <si>
    <t>Crecimiento de quejas y riesgo de sanciones o intervención de órganos de control.</t>
  </si>
  <si>
    <t>Desplegar infraestructura tecnológica y mejorar la calidad e interoperabilidad (si aplica) de los datos para soportar modelos de IA de forma segura y escalable.</t>
  </si>
  <si>
    <t>Mejora en la satisfacción de usuarios internos y externos, y fortalecimiento de la confianza institucional.</t>
  </si>
  <si>
    <t>Definir lineamientos de residencia/seguridad de datos y un marco de interoperabilidad en nube.</t>
  </si>
  <si>
    <t>Aumento en la adopción de canales digitales y legitimidad de la gestión pública.</t>
  </si>
  <si>
    <t>Déficit de capacidades técnicas y de gobernanza en IA.</t>
  </si>
  <si>
    <t>Información dispersa, problemas de calidad y falta de interoperabilidad.</t>
  </si>
  <si>
    <t>Desarrollar talento y un marco de gobernanza que asegure el ciclo de vida responsable y la mejora continua de las aplicaciones de IA.</t>
  </si>
  <si>
    <t>Establecer cronogramas y una ruta de formación/gobernanza en IA.</t>
  </si>
  <si>
    <t>Restricciones de residencia/seguridad de datos sin lineamientos claros para nube e interoperabilidad.</t>
  </si>
  <si>
    <t>Escasez de perfiles con experiencia en ciencia de datos, IA y ética algorítmica.</t>
  </si>
  <si>
    <t>Sobrecarga operativa y tiempo insuficiente para formación y mejora continua.</t>
  </si>
  <si>
    <t>Oferta insuficiente de proveedores locales con servicios de IA sectoriales orientados al ámbito público.</t>
  </si>
  <si>
    <t>Persistencia de brechas de eficiencia y calidad en los servicios públicos.</t>
  </si>
  <si>
    <t>Baja inversión pública–privada en I+D y escasos incentivos fiscales para empresas que desarrollan soluciones de IA para el Estado.</t>
  </si>
  <si>
    <t>Mayor gasto operativo y creciente desconfianza ciudadana.</t>
  </si>
  <si>
    <t>Ampliar y articular la oferta de proveedores de servicios de IA alineada a los requerimientos del sector público.</t>
  </si>
  <si>
    <t>Cierre de brechas de eficiencia y calidad en los servicios públicos.</t>
  </si>
  <si>
    <t>Agrear y estabilizar la demanda pública de IA mediante hojas de ruta y catálogos sectoriales.</t>
  </si>
  <si>
    <t>Mejor desempeño institucional y mayor legitimidad de las entidades públicas.</t>
  </si>
  <si>
    <t>Mecanismos de vinculación y contratación poco ágiles para servicios de IA.</t>
  </si>
  <si>
    <t>Oportunidades perdidas de innovación y competitividad digital a nivel nacional.</t>
  </si>
  <si>
    <t>Demanda pública fragmentada e impredecible, sin hojas de ruta ni catálogos de casos de uso sectoriales.</t>
  </si>
  <si>
    <t>Rezago económico y fuga de talento tecnológico hacia el sector privado o al exterior.</t>
  </si>
  <si>
    <t>Diseñar y poner en marcha mecanismos ágiles de vinculación y contratación de servicios de IA.</t>
  </si>
  <si>
    <t>Aprovechamiento de oportunidades para la innovación y la competitividad digital a nivel nacional.</t>
  </si>
  <si>
    <t>Estandarizar lineamientos sobre propiedad intelectual y uso de datos en la contratación de servicios de IA.</t>
  </si>
  <si>
    <t>Dinamización del ecosistema de I+D+i y atracción de inversión y talento especializado.</t>
  </si>
  <si>
    <t>Baja madurez interna en datos, talento y gobernanza para absorber servicios de IA.</t>
  </si>
  <si>
    <t>Marcos regulatorios y procesos de control fiscal rígidos.</t>
  </si>
  <si>
    <t>Desarrollar la madurez interna en datos, talento y gobernanza para recibir, operar y escalar los servicios de IA contratados.</t>
  </si>
  <si>
    <t>Consolidar un esquema presupuestal plurianual operativo para capacidades de IA.</t>
  </si>
  <si>
    <t>Baja disponibilidad de lineamientos sobre propiedad intelectual y uso de datos en la contratación de servicios de IA (licencias, derechos sobre modelos y datasets).</t>
  </si>
  <si>
    <t>Carencia de equipos capaces de definir requerimientos, evaluar propuestas técnicas y operar modelos suministrados por terceros.</t>
  </si>
  <si>
    <t>Ausencia de presupuesto operativo recurrente y plan plurianual de capacidades.</t>
  </si>
  <si>
    <t>Escasa planificación estratégica para la adopción ética, segura y responsable de IA.</t>
  </si>
  <si>
    <t>Mayor exposición institucional a riesgos éticos, técnicos y legales asociados al uso de inteligencia artificial.</t>
  </si>
  <si>
    <t>Bajos niveles de cultura de datos sobre la importancia de invertir en software de monitoreo y auditoría algorítmica.</t>
  </si>
  <si>
    <t>Aumento de las desconfianza y de los costos de incumplimiento legales.</t>
  </si>
  <si>
    <t>Implementar herramientas tecnológicas especializadas para la gobernanza de IA.</t>
  </si>
  <si>
    <t>Reducción de la exposición institucional a riesgos éticos, técnicos y legales asociados al uso de inteligencia artificial.</t>
  </si>
  <si>
    <t>Estandarizar especificaciones y casos de uso para adquirir herramientas de gobernanza de IA.</t>
  </si>
  <si>
    <t>Sostenibilidad de gobernanza de IA y protección efectiva de derechos humanos.</t>
  </si>
  <si>
    <t>Limitada coordinación interinstitucional entre dependencias de la entidad en el desarrollo, supervisión y adopción de modelos de IA.</t>
  </si>
  <si>
    <t>Baja confianza en el uso de IA en el sector público y limitada legitimidad de las decisiones automatizadas.</t>
  </si>
  <si>
    <t>Baja asignación de recursos técnicos y financieros para fortalecer capacidades en IA y su supervisión.</t>
  </si>
  <si>
    <t>Menor adopción e innovación con IA en las entidades públicas.</t>
  </si>
  <si>
    <t>Establecer marcos y metodologías internas basados en riesgos y principios éticos.</t>
  </si>
  <si>
    <t>Aumento de la confianza en el uso de IA en el sector público y fortalecimiento de la legitimidad de las decisiones automatizadas.</t>
  </si>
  <si>
    <t>Formalizar lineamientos y buenas prácticas sectoriales de gobernanza de IA.</t>
  </si>
  <si>
    <t>Mayor adopción y escalamiento de soluciones de IA con principios éticos reforzados.</t>
  </si>
  <si>
    <t>Falta de procesos y roles definidos para la gestión, supervisión, y auditoria de modelos de IA.</t>
  </si>
  <si>
    <t>Falta de lineamientos regulatorios claros y escasa adopción de buenas prácticas internacionales en la materia.</t>
  </si>
  <si>
    <t>Definir roles, procesos y estructuras de gobernanza multidisciplinaria.</t>
  </si>
  <si>
    <t>Establecer e implementar herramientas de principios éticos para modelos de IA.</t>
  </si>
  <si>
    <t>Ausencia de lineamientos e buenas prácticas sectoriales claras.</t>
  </si>
  <si>
    <t>Cultura organizacional conservadora y ausencia de políticas internas que asignen responsabilidades y flujos de trabajo para IA.</t>
  </si>
  <si>
    <t>Lineamientos estratégicos poco claros y ausencia de rendición de cuentas de modelos de 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</si>
</sst>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CA31-25A8-4493-A318-37F197FA3894}">
  <dimension ref="A1:W65"/>
  <sheetViews>
    <sheetView zoomScale="87" workbookViewId="0">
      <selection activeCell="J8" sqref="J8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69.95">
      <c r="A3" s="1" t="str">
        <f>"C" &amp; ROW() - 2</f>
        <v>C1</v>
      </c>
      <c r="B3" s="4" t="s">
        <v>21</v>
      </c>
      <c r="C3" s="4" t="s">
        <v>22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24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25</v>
      </c>
      <c r="M3" s="1" t="str">
        <f>"O" &amp; ROW() - 2</f>
        <v>O1</v>
      </c>
      <c r="N3" s="4" t="s">
        <v>26</v>
      </c>
      <c r="O3" s="4" t="s">
        <v>27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29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30</v>
      </c>
    </row>
    <row r="4" spans="1:23" ht="97.9">
      <c r="A4" s="1" t="str">
        <f t="shared" ref="A4:A12" si="0">"C" &amp; ROW() - 2</f>
        <v>C2</v>
      </c>
      <c r="B4" s="4" t="s">
        <v>31</v>
      </c>
      <c r="C4" s="4" t="s">
        <v>32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33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35</v>
      </c>
      <c r="M4" s="1" t="str">
        <f t="shared" ref="M4:M12" si="1">"O" &amp; ROW() - 2</f>
        <v>O2</v>
      </c>
      <c r="N4" s="4" t="s">
        <v>36</v>
      </c>
      <c r="O4" s="4" t="s">
        <v>37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39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40</v>
      </c>
    </row>
    <row r="5" spans="1:23" ht="106.5">
      <c r="A5" s="1" t="str">
        <f t="shared" si="0"/>
        <v>C3</v>
      </c>
      <c r="B5" s="4" t="s">
        <v>41</v>
      </c>
      <c r="C5" s="4" t="s">
        <v>42</v>
      </c>
      <c r="D5" s="3"/>
      <c r="E5" s="4" t="s">
        <v>34</v>
      </c>
      <c r="F5" s="5" t="str">
        <f xml:space="preserve"> IF(E5="", "", E5&amp;"CI" &amp; COUNTIF($E$3:E5, E5))</f>
        <v>C2CI1</v>
      </c>
      <c r="G5" s="4" t="s">
        <v>43</v>
      </c>
      <c r="H5" s="3"/>
      <c r="I5" s="4" t="s">
        <v>44</v>
      </c>
      <c r="J5" s="4" t="str">
        <f xml:space="preserve"> IF(I5="", "", I5&amp;"EI" &amp; COUNTIF($I$3:I5, I5))</f>
        <v>C3EI1</v>
      </c>
      <c r="K5" s="4" t="s">
        <v>45</v>
      </c>
      <c r="M5" s="1" t="str">
        <f t="shared" si="1"/>
        <v>O3</v>
      </c>
      <c r="N5" s="4" t="s">
        <v>46</v>
      </c>
      <c r="O5" s="4" t="s">
        <v>47</v>
      </c>
      <c r="P5" s="3"/>
      <c r="Q5" s="4" t="s">
        <v>48</v>
      </c>
      <c r="R5" s="5" t="str">
        <f xml:space="preserve"> IF(Q5="", "", Q5&amp;"MI" &amp; COUNTIF($Q$3:Q5, Q5))</f>
        <v>O3MI1</v>
      </c>
      <c r="S5" s="4" t="s">
        <v>49</v>
      </c>
      <c r="T5" s="3"/>
      <c r="U5" s="4" t="s">
        <v>48</v>
      </c>
      <c r="V5" s="4" t="str">
        <f xml:space="preserve"> IF(U5="", "", U5&amp;"FI" &amp; COUNTIF($U$3:U5, U5))</f>
        <v>O3FI1</v>
      </c>
      <c r="W5" s="4" t="s">
        <v>50</v>
      </c>
    </row>
    <row r="6" spans="1:23" ht="60.7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51</v>
      </c>
      <c r="H6" s="3"/>
      <c r="I6" s="4"/>
      <c r="J6" s="4" t="str">
        <f xml:space="preserve"> IF(I6="", "", I6&amp;"EI" &amp; COUNTIF($I$3:I6, I6))</f>
        <v/>
      </c>
      <c r="K6" s="4"/>
      <c r="M6" s="1" t="s">
        <v>52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42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53</v>
      </c>
      <c r="H7" s="3"/>
      <c r="I7" s="4"/>
      <c r="J7" s="4" t="str">
        <f xml:space="preserve"> IF(I7="", "", I7&amp;"EI" &amp; COUNTIF($I$3:I7, I7))</f>
        <v/>
      </c>
      <c r="K7" s="4"/>
      <c r="M7" s="1" t="s">
        <v>54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27.9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55</v>
      </c>
      <c r="H8" s="3"/>
      <c r="I8" s="4"/>
      <c r="J8" s="4" t="str">
        <f xml:space="preserve"> IF(I8="", "", I8&amp;"EI" &amp; COUNTIF($I$3:I8, I8))</f>
        <v/>
      </c>
      <c r="K8" s="4"/>
      <c r="M8" s="1" t="s">
        <v>56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">
        <v>57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">
        <v>58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">
        <v>59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">
        <v>60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phoneticPr fontId="1" type="noConversion"/>
  <dataValidations count="4">
    <dataValidation type="list" allowBlank="1" showInputMessage="1" showErrorMessage="1" sqref="E3:E51 I3:I20 Q19:Q51" xr:uid="{F77AC85D-B1CA-44CA-BD26-B136B7E0CF40}">
      <formula1>$A$3:$A$12</formula1>
    </dataValidation>
    <dataValidation type="list" allowBlank="1" showInputMessage="1" showErrorMessage="1" sqref="I21:I65" xr:uid="{D737AF85-9F0D-4149-822F-D7D4A997083B}">
      <formula1>$F$3:$F$8</formula1>
    </dataValidation>
    <dataValidation type="list" allowBlank="1" showInputMessage="1" showErrorMessage="1" sqref="U30:U65" xr:uid="{8A6854FF-05E5-4A90-B694-ECB101120202}">
      <formula1>$G$3:$G$8</formula1>
    </dataValidation>
    <dataValidation type="list" allowBlank="1" showInputMessage="1" showErrorMessage="1" sqref="Q3:Q18 U3:U29" xr:uid="{EF7CC071-21BF-4CA2-80BC-E9C08891C096}">
      <formula1>$M$3:$M$12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6314-B0EC-4F4B-BD8A-6D0ACA71AFA2}">
  <dimension ref="A1:W65"/>
  <sheetViews>
    <sheetView zoomScale="87" workbookViewId="0">
      <selection activeCell="W6" sqref="W6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106.5">
      <c r="A3" s="1" t="str">
        <f>"C" &amp; ROW() - 2</f>
        <v>C1</v>
      </c>
      <c r="B3" s="4" t="s">
        <v>62</v>
      </c>
      <c r="C3" s="4" t="s">
        <v>63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64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65</v>
      </c>
      <c r="M3" s="1" t="str">
        <f>"O" &amp; ROW() - 2</f>
        <v>O1</v>
      </c>
      <c r="N3" s="4" t="s">
        <v>66</v>
      </c>
      <c r="O3" s="4" t="s">
        <v>67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68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69</v>
      </c>
    </row>
    <row r="4" spans="1:23" ht="106.5">
      <c r="A4" s="1" t="str">
        <f t="shared" ref="A4:A12" si="0">"C" &amp; ROW() - 2</f>
        <v>C2</v>
      </c>
      <c r="B4" s="4" t="s">
        <v>70</v>
      </c>
      <c r="C4" s="4" t="s">
        <v>71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72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73</v>
      </c>
      <c r="M4" s="1" t="str">
        <f t="shared" ref="M4:M12" si="1">"O" &amp; ROW() - 2</f>
        <v>O2</v>
      </c>
      <c r="N4" s="4" t="s">
        <v>74</v>
      </c>
      <c r="O4" s="4" t="s">
        <v>75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76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77</v>
      </c>
    </row>
    <row r="5" spans="1:23" ht="121.5">
      <c r="A5" s="1" t="str">
        <f t="shared" si="0"/>
        <v>C3</v>
      </c>
      <c r="B5" s="4" t="s">
        <v>78</v>
      </c>
      <c r="C5" s="4" t="s">
        <v>79</v>
      </c>
      <c r="D5" s="3"/>
      <c r="E5" s="4" t="s">
        <v>34</v>
      </c>
      <c r="F5" s="5" t="str">
        <f xml:space="preserve"> IF(E5="", "", E5&amp;"CI" &amp; COUNTIF($E$3:E5, E5))</f>
        <v>C2CI1</v>
      </c>
      <c r="G5" s="4" t="s">
        <v>80</v>
      </c>
      <c r="H5" s="3"/>
      <c r="I5" s="4" t="s">
        <v>44</v>
      </c>
      <c r="J5" s="4" t="str">
        <f xml:space="preserve"> IF(I5="", "", I5&amp;"EI" &amp; COUNTIF($I$3:I5, I5))</f>
        <v>C3EI1</v>
      </c>
      <c r="K5" s="4" t="s">
        <v>81</v>
      </c>
      <c r="M5" s="1" t="str">
        <f t="shared" si="1"/>
        <v>O3</v>
      </c>
      <c r="N5" s="4" t="s">
        <v>82</v>
      </c>
      <c r="O5" s="4" t="s">
        <v>83</v>
      </c>
      <c r="P5" s="3"/>
      <c r="Q5" s="4" t="s">
        <v>48</v>
      </c>
      <c r="R5" s="5" t="str">
        <f xml:space="preserve"> IF(Q5="", "", Q5&amp;"MI" &amp; COUNTIF($Q$3:Q5, Q5))</f>
        <v>O3MI1</v>
      </c>
      <c r="S5" s="4" t="s">
        <v>84</v>
      </c>
      <c r="T5" s="3"/>
      <c r="U5" s="4" t="s">
        <v>48</v>
      </c>
      <c r="V5" s="4" t="str">
        <f xml:space="preserve"> IF(U5="", "", U5&amp;"FI" &amp; COUNTIF($U$3:U5, U5))</f>
        <v>O3FI1</v>
      </c>
      <c r="W5" s="4" t="s">
        <v>85</v>
      </c>
    </row>
    <row r="6" spans="1:23" ht="106.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86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60.7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87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60.7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88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Q3:Q18 U3:U29" xr:uid="{B3AB34AB-05C7-4279-96CE-49AD6FBDC69E}">
      <formula1>$M$3:$M$12</formula1>
    </dataValidation>
    <dataValidation type="list" allowBlank="1" showInputMessage="1" showErrorMessage="1" sqref="U30:U65" xr:uid="{E15D5E20-5A3D-4647-A4F4-65DAD6B2B0C3}">
      <formula1>$G$3:$G$8</formula1>
    </dataValidation>
    <dataValidation type="list" allowBlank="1" showInputMessage="1" showErrorMessage="1" sqref="I21:I65" xr:uid="{DFF236C0-4099-4607-ADEA-2624DA35F024}">
      <formula1>$F$3:$F$8</formula1>
    </dataValidation>
    <dataValidation type="list" allowBlank="1" showInputMessage="1" showErrorMessage="1" sqref="E3:E51 I3:I20 Q19:Q51" xr:uid="{7C1402E7-0FFB-470E-A5A5-4B25498AB8A3}">
      <formula1>$A$3:$A$12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72A8-E446-4CCB-A607-7F9097079769}">
  <dimension ref="A1:W65"/>
  <sheetViews>
    <sheetView topLeftCell="K1" zoomScale="87" workbookViewId="0">
      <selection activeCell="W5" sqref="W5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91.5">
      <c r="A3" s="1" t="str">
        <f>"C" &amp; ROW() - 2</f>
        <v>C1</v>
      </c>
      <c r="B3" s="4" t="s">
        <v>89</v>
      </c>
      <c r="C3" s="4" t="s">
        <v>90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91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92</v>
      </c>
      <c r="M3" s="1" t="str">
        <f>"O" &amp; ROW() - 2</f>
        <v>O1</v>
      </c>
      <c r="N3" s="4" t="s">
        <v>93</v>
      </c>
      <c r="O3" s="4" t="s">
        <v>94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95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96</v>
      </c>
    </row>
    <row r="4" spans="1:23" ht="137.25">
      <c r="A4" s="1" t="str">
        <f t="shared" ref="A4:A12" si="0">"C" &amp; ROW() - 2</f>
        <v>C2</v>
      </c>
      <c r="B4" s="4" t="s">
        <v>97</v>
      </c>
      <c r="C4" s="4" t="s">
        <v>98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99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100</v>
      </c>
      <c r="M4" s="1" t="str">
        <f t="shared" ref="M4:M12" si="1">"O" &amp; ROW() - 2</f>
        <v>O2</v>
      </c>
      <c r="N4" s="4" t="s">
        <v>101</v>
      </c>
      <c r="O4" s="4" t="s">
        <v>102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103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104</v>
      </c>
    </row>
    <row r="5" spans="1:23" ht="121.5">
      <c r="A5" s="1" t="str">
        <f t="shared" si="0"/>
        <v>C3</v>
      </c>
      <c r="B5" s="4" t="s">
        <v>105</v>
      </c>
      <c r="C5" s="4" t="s">
        <v>106</v>
      </c>
      <c r="D5" s="3"/>
      <c r="E5" s="4" t="s">
        <v>34</v>
      </c>
      <c r="F5" s="5" t="str">
        <f xml:space="preserve"> IF(E5="", "", E5&amp;"CI" &amp; COUNTIF($E$3:E5, E5))</f>
        <v>C2CI1</v>
      </c>
      <c r="G5" s="4" t="s">
        <v>107</v>
      </c>
      <c r="H5" s="3"/>
      <c r="I5" s="4" t="s">
        <v>44</v>
      </c>
      <c r="J5" s="4" t="str">
        <f xml:space="preserve"> IF(I5="", "", I5&amp;"EI" &amp; COUNTIF($I$3:I5, I5))</f>
        <v>C3EI1</v>
      </c>
      <c r="K5" s="4" t="s">
        <v>108</v>
      </c>
      <c r="M5" s="1" t="str">
        <f t="shared" si="1"/>
        <v>O3</v>
      </c>
      <c r="N5" s="4" t="s">
        <v>109</v>
      </c>
      <c r="O5" s="4" t="s">
        <v>110</v>
      </c>
      <c r="P5" s="3"/>
      <c r="Q5" s="4" t="s">
        <v>48</v>
      </c>
      <c r="R5" s="5" t="str">
        <f xml:space="preserve"> IF(Q5="", "", Q5&amp;"MI" &amp; COUNTIF($Q$3:Q5, Q5))</f>
        <v>O3MI1</v>
      </c>
      <c r="S5" s="4" t="s">
        <v>111</v>
      </c>
      <c r="T5" s="3"/>
      <c r="U5" s="4" t="s">
        <v>48</v>
      </c>
      <c r="V5" s="4" t="str">
        <f xml:space="preserve"> IF(U5="", "", U5&amp;"FI" &amp; COUNTIF($U$3:U5, U5))</f>
        <v>O3FI1</v>
      </c>
      <c r="W5" s="4" t="s">
        <v>112</v>
      </c>
    </row>
    <row r="6" spans="1:23" ht="76.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113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91.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114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60.7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115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E3:E51 I3:I20 Q19:Q51" xr:uid="{DBF713C9-E4FD-4DB6-8C5D-3C934ECE2F58}">
      <formula1>$A$3:$A$12</formula1>
    </dataValidation>
    <dataValidation type="list" allowBlank="1" showInputMessage="1" showErrorMessage="1" sqref="I21:I65" xr:uid="{E2941634-2CDD-47CF-9F37-E51A7954629E}">
      <formula1>$F$3:$F$8</formula1>
    </dataValidation>
    <dataValidation type="list" allowBlank="1" showInputMessage="1" showErrorMessage="1" sqref="U30:U65" xr:uid="{21E009AB-7768-4045-9CC9-8299989C2BA1}">
      <formula1>$G$3:$G$8</formula1>
    </dataValidation>
    <dataValidation type="list" allowBlank="1" showInputMessage="1" showErrorMessage="1" sqref="Q3:Q18 U3:U29" xr:uid="{28D67563-C6B1-4883-80FA-AE142A41F3F6}">
      <formula1>$M$3:$M$12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D242-D3AB-4B88-90A9-98CC57F9A9EA}">
  <dimension ref="A1:W65"/>
  <sheetViews>
    <sheetView topLeftCell="L1" zoomScale="87" workbookViewId="0">
      <selection activeCell="W6" sqref="W6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76.5">
      <c r="A3" s="1" t="str">
        <f>"C" &amp; ROW() - 2</f>
        <v>C1</v>
      </c>
      <c r="B3" s="4" t="s">
        <v>116</v>
      </c>
      <c r="C3" s="4" t="s">
        <v>117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118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119</v>
      </c>
      <c r="M3" s="1" t="str">
        <f>"O" &amp; ROW() - 2</f>
        <v>O1</v>
      </c>
      <c r="N3" s="4" t="s">
        <v>120</v>
      </c>
      <c r="O3" s="4" t="s">
        <v>121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122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123</v>
      </c>
    </row>
    <row r="4" spans="1:23" ht="121.5">
      <c r="A4" s="1" t="str">
        <f t="shared" ref="A4:A12" si="0">"C" &amp; ROW() - 2</f>
        <v>C2</v>
      </c>
      <c r="B4" s="4" t="s">
        <v>124</v>
      </c>
      <c r="C4" s="4" t="s">
        <v>125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126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127</v>
      </c>
      <c r="M4" s="1" t="str">
        <f t="shared" ref="M4:M12" si="1">"O" &amp; ROW() - 2</f>
        <v>O2</v>
      </c>
      <c r="N4" s="4" t="s">
        <v>128</v>
      </c>
      <c r="O4" s="4" t="s">
        <v>129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130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131</v>
      </c>
    </row>
    <row r="5" spans="1:23" ht="76.5">
      <c r="A5" s="1" t="str">
        <f t="shared" si="0"/>
        <v>C3</v>
      </c>
      <c r="B5" s="4" t="s">
        <v>132</v>
      </c>
      <c r="C5" s="4" t="s">
        <v>133</v>
      </c>
      <c r="D5" s="3"/>
      <c r="E5" s="4" t="s">
        <v>34</v>
      </c>
      <c r="F5" s="5" t="str">
        <f xml:space="preserve"> IF(E5="", "", E5&amp;"CI" &amp; COUNTIF($E$3:E5, E5))</f>
        <v>C2CI1</v>
      </c>
      <c r="G5" s="4" t="s">
        <v>134</v>
      </c>
      <c r="H5" s="3"/>
      <c r="I5" s="4" t="s">
        <v>44</v>
      </c>
      <c r="J5" s="4" t="str">
        <f xml:space="preserve"> IF(I5="", "", I5&amp;"EI" &amp; COUNTIF($I$3:I5, I5))</f>
        <v>C3EI1</v>
      </c>
      <c r="K5" s="4" t="s">
        <v>135</v>
      </c>
      <c r="M5" s="1" t="str">
        <f t="shared" si="1"/>
        <v>O3</v>
      </c>
      <c r="N5" s="4" t="s">
        <v>136</v>
      </c>
      <c r="O5" s="4" t="s">
        <v>137</v>
      </c>
      <c r="P5" s="3"/>
      <c r="Q5" s="4" t="s">
        <v>48</v>
      </c>
      <c r="R5" s="5" t="str">
        <f xml:space="preserve"> IF(Q5="", "", Q5&amp;"MI" &amp; COUNTIF($Q$3:Q5, Q5))</f>
        <v>O3MI1</v>
      </c>
      <c r="S5" s="4" t="s">
        <v>138</v>
      </c>
      <c r="T5" s="3"/>
      <c r="U5" s="4" t="s">
        <v>48</v>
      </c>
      <c r="V5" s="4" t="str">
        <f xml:space="preserve"> IF(U5="", "", U5&amp;"FI" &amp; COUNTIF($U$3:U5, U5))</f>
        <v>O3FI1</v>
      </c>
      <c r="W5" s="4" t="s">
        <v>139</v>
      </c>
    </row>
    <row r="6" spans="1:23" ht="60.7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140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60.7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141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60.7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142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Q3:Q18 U3:U29" xr:uid="{1179869D-B32A-491B-9404-ABB2FEDA305C}">
      <formula1>$M$3:$M$12</formula1>
    </dataValidation>
    <dataValidation type="list" allowBlank="1" showInputMessage="1" showErrorMessage="1" sqref="U30:U65" xr:uid="{6193EBDB-8505-4FF8-903D-196AFEAD36F1}">
      <formula1>$G$3:$G$8</formula1>
    </dataValidation>
    <dataValidation type="list" allowBlank="1" showInputMessage="1" showErrorMessage="1" sqref="I21:I65" xr:uid="{3C9B46BF-ECC7-4B94-A79C-32E7DCAAFC41}">
      <formula1>$F$3:$F$8</formula1>
    </dataValidation>
    <dataValidation type="list" allowBlank="1" showInputMessage="1" showErrorMessage="1" sqref="E3:E51 I3:I20 Q19:Q51" xr:uid="{6C334AF4-0A46-4731-967C-AC48A32142AF}">
      <formula1>$A$3:$A$12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7E0C-BDF2-46E1-8EDC-F8F49E587E9B}">
  <dimension ref="A1:W65"/>
  <sheetViews>
    <sheetView zoomScale="87" workbookViewId="0">
      <selection activeCell="X6" sqref="X6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91.5">
      <c r="A3" s="1" t="str">
        <f>"C" &amp; ROW() - 2</f>
        <v>C1</v>
      </c>
      <c r="B3" s="4" t="s">
        <v>143</v>
      </c>
      <c r="C3" s="4" t="s">
        <v>144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145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146</v>
      </c>
      <c r="M3" s="1" t="str">
        <f>"O" &amp; ROW() - 2</f>
        <v>O1</v>
      </c>
      <c r="N3" s="4" t="s">
        <v>147</v>
      </c>
      <c r="O3" s="4" t="s">
        <v>148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149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150</v>
      </c>
    </row>
    <row r="4" spans="1:23" ht="91.5">
      <c r="A4" s="1" t="str">
        <f t="shared" ref="A4:A12" si="0">"C" &amp; ROW() - 2</f>
        <v>C2</v>
      </c>
      <c r="B4" s="4" t="s">
        <v>151</v>
      </c>
      <c r="C4" s="4" t="s">
        <v>152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153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154</v>
      </c>
      <c r="M4" s="1" t="str">
        <f t="shared" ref="M4:M12" si="1">"O" &amp; ROW() - 2</f>
        <v>O2</v>
      </c>
      <c r="N4" s="4" t="s">
        <v>155</v>
      </c>
      <c r="O4" s="4" t="s">
        <v>156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157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158</v>
      </c>
    </row>
    <row r="5" spans="1:23" ht="76.5">
      <c r="A5" s="1" t="str">
        <f t="shared" si="0"/>
        <v>C3</v>
      </c>
      <c r="B5" s="4" t="s">
        <v>159</v>
      </c>
      <c r="C5" s="4" t="s">
        <v>160</v>
      </c>
      <c r="D5" s="3"/>
      <c r="E5" s="4" t="s">
        <v>34</v>
      </c>
      <c r="F5" s="5" t="str">
        <f xml:space="preserve"> IF(E5="", "", E5&amp;"CI" &amp; COUNTIF($E$3:E5, E5))</f>
        <v>C2CI1</v>
      </c>
      <c r="G5" s="4" t="s">
        <v>161</v>
      </c>
      <c r="H5" s="3"/>
      <c r="I5" s="4" t="s">
        <v>44</v>
      </c>
      <c r="J5" s="4" t="str">
        <f xml:space="preserve"> IF(I5="", "", I5&amp;"EI" &amp; COUNTIF($I$3:I5, I5))</f>
        <v>C3EI1</v>
      </c>
      <c r="K5" s="4" t="s">
        <v>162</v>
      </c>
      <c r="M5" s="1" t="str">
        <f t="shared" si="1"/>
        <v>O3</v>
      </c>
      <c r="N5" s="4" t="s">
        <v>163</v>
      </c>
      <c r="O5" s="4" t="s">
        <v>164</v>
      </c>
      <c r="P5" s="3"/>
      <c r="Q5" s="4" t="s">
        <v>48</v>
      </c>
      <c r="R5" s="5" t="str">
        <f xml:space="preserve"> IF(Q5="", "", Q5&amp;"MI" &amp; COUNTIF($Q$3:Q5, Q5))</f>
        <v>O3MI1</v>
      </c>
      <c r="S5" s="4" t="s">
        <v>165</v>
      </c>
      <c r="T5" s="3"/>
      <c r="U5" s="4" t="s">
        <v>48</v>
      </c>
      <c r="V5" s="4" t="str">
        <f xml:space="preserve"> IF(U5="", "", U5&amp;"FI" &amp; COUNTIF($U$3:U5, U5))</f>
        <v>O3FI1</v>
      </c>
      <c r="W5" s="4" t="s">
        <v>166</v>
      </c>
    </row>
    <row r="6" spans="1:23" ht="76.5">
      <c r="A6" s="1" t="str">
        <f t="shared" si="0"/>
        <v>C4</v>
      </c>
      <c r="B6" s="4" t="s">
        <v>167</v>
      </c>
      <c r="C6" s="4" t="s">
        <v>168</v>
      </c>
      <c r="D6" s="3"/>
      <c r="E6" s="4" t="s">
        <v>34</v>
      </c>
      <c r="F6" s="5" t="str">
        <f xml:space="preserve"> IF(E6="", "", E6&amp;"CI" &amp; COUNTIF($E$3:E6, E6))</f>
        <v>C2CI2</v>
      </c>
      <c r="G6" s="4" t="s">
        <v>169</v>
      </c>
      <c r="H6" s="3"/>
      <c r="I6" s="4" t="s">
        <v>170</v>
      </c>
      <c r="J6" s="4" t="str">
        <f xml:space="preserve"> IF(I6="", "", I6&amp;"EI" &amp; COUNTIF($I$3:I6, I6))</f>
        <v>C4EI1</v>
      </c>
      <c r="K6" s="4" t="s">
        <v>171</v>
      </c>
      <c r="M6" s="1" t="str">
        <f t="shared" si="1"/>
        <v>O4</v>
      </c>
      <c r="N6" s="4" t="s">
        <v>172</v>
      </c>
      <c r="O6" s="4" t="s">
        <v>173</v>
      </c>
      <c r="P6" s="3"/>
      <c r="Q6" s="4" t="s">
        <v>52</v>
      </c>
      <c r="R6" s="5" t="str">
        <f xml:space="preserve"> IF(Q6="", "", Q6&amp;"MI" &amp; COUNTIF($Q$3:Q6, Q6))</f>
        <v>O4MI1</v>
      </c>
      <c r="S6" s="4" t="s">
        <v>174</v>
      </c>
      <c r="T6" s="3"/>
      <c r="U6" s="4" t="s">
        <v>52</v>
      </c>
      <c r="V6" s="4" t="str">
        <f xml:space="preserve"> IF(U6="", "", U6&amp;"FI" &amp; COUNTIF($U$3:U6, U6))</f>
        <v>O4FI1</v>
      </c>
      <c r="W6" s="4" t="s">
        <v>175</v>
      </c>
    </row>
    <row r="7" spans="1:23" ht="45.7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176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76.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177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 ht="60.75">
      <c r="A9" s="1" t="str">
        <f t="shared" si="0"/>
        <v>C7</v>
      </c>
      <c r="B9" s="4"/>
      <c r="C9" s="4"/>
      <c r="D9" s="3"/>
      <c r="E9" s="4" t="s">
        <v>170</v>
      </c>
      <c r="F9" s="5" t="str">
        <f xml:space="preserve"> IF(E9="", "", E9&amp;"CI" &amp; COUNTIF($E$3:E9, E9))</f>
        <v>C4CI1</v>
      </c>
      <c r="G9" s="4" t="s">
        <v>178</v>
      </c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 ht="45.75">
      <c r="A10" s="1" t="str">
        <f t="shared" si="0"/>
        <v>C8</v>
      </c>
      <c r="B10" s="4"/>
      <c r="C10" s="4"/>
      <c r="D10" s="3"/>
      <c r="E10" s="4" t="s">
        <v>170</v>
      </c>
      <c r="F10" s="5" t="str">
        <f xml:space="preserve"> IF(E10="", "", E10&amp;"CI" &amp; COUNTIF($E$3:E10, E10))</f>
        <v>C4CI2</v>
      </c>
      <c r="G10" s="4" t="s">
        <v>179</v>
      </c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E3:E51 I3:I20 Q19:Q51" xr:uid="{8F2ADE5E-FB69-458C-9DFF-5727558136F0}">
      <formula1>$A$3:$A$12</formula1>
    </dataValidation>
    <dataValidation type="list" allowBlank="1" showInputMessage="1" showErrorMessage="1" sqref="I21:I65" xr:uid="{6D6DD91C-179B-4F94-B166-5C50E42F1A20}">
      <formula1>$F$3:$F$8</formula1>
    </dataValidation>
    <dataValidation type="list" allowBlank="1" showInputMessage="1" showErrorMessage="1" sqref="U30:U65" xr:uid="{EA47038A-501B-4B44-8F21-4C53F8EBEC82}">
      <formula1>$G$3:$G$8</formula1>
    </dataValidation>
    <dataValidation type="list" allowBlank="1" showInputMessage="1" showErrorMessage="1" sqref="Q3:Q18 U3:U29" xr:uid="{5297544D-003D-4A21-A448-36548A4D7A4E}">
      <formula1>$M$3:$M$12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82F3-3D1C-423D-A0C4-E0DC00C1286E}">
  <dimension ref="A1:W65"/>
  <sheetViews>
    <sheetView topLeftCell="K1" zoomScale="87" workbookViewId="0">
      <selection activeCell="U3" sqref="U3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106.5">
      <c r="A3" s="1" t="str">
        <f>"C" &amp; ROW() - 2</f>
        <v>C1</v>
      </c>
      <c r="B3" s="4" t="s">
        <v>180</v>
      </c>
      <c r="C3" s="4" t="s">
        <v>181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182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183</v>
      </c>
      <c r="M3" s="1" t="str">
        <f>"O" &amp; ROW() - 2</f>
        <v>O1</v>
      </c>
      <c r="N3" s="4" t="s">
        <v>184</v>
      </c>
      <c r="O3" s="4" t="s">
        <v>185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186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187</v>
      </c>
    </row>
    <row r="4" spans="1:23" ht="91.5">
      <c r="A4" s="1" t="str">
        <f t="shared" ref="A4:A12" si="0">"C" &amp; ROW() - 2</f>
        <v>C2</v>
      </c>
      <c r="B4" s="4" t="s">
        <v>188</v>
      </c>
      <c r="C4" s="4" t="s">
        <v>189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190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191</v>
      </c>
      <c r="M4" s="1" t="str">
        <f t="shared" ref="M4:M12" si="1">"O" &amp; ROW() - 2</f>
        <v>O2</v>
      </c>
      <c r="N4" s="4" t="s">
        <v>192</v>
      </c>
      <c r="O4" s="4" t="s">
        <v>193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194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195</v>
      </c>
    </row>
    <row r="5" spans="1:23" ht="152.25">
      <c r="A5" s="1" t="str">
        <f t="shared" si="0"/>
        <v>C3</v>
      </c>
      <c r="B5" s="4" t="s">
        <v>196</v>
      </c>
      <c r="C5" s="4" t="s">
        <v>197</v>
      </c>
      <c r="D5" s="3"/>
      <c r="E5" s="4" t="s">
        <v>34</v>
      </c>
      <c r="F5" s="5" t="str">
        <f xml:space="preserve"> IF(E5="", "", E5&amp;"CI" &amp; COUNTIF($E$3:E5, E5))</f>
        <v>C2CI1</v>
      </c>
      <c r="G5" s="4" t="s">
        <v>198</v>
      </c>
      <c r="H5" s="3"/>
      <c r="I5" s="4" t="s">
        <v>44</v>
      </c>
      <c r="J5" s="4" t="str">
        <f xml:space="preserve"> IF(I5="", "", I5&amp;"EI" &amp; COUNTIF($I$3:I5, I5))</f>
        <v>C3EI1</v>
      </c>
      <c r="K5" s="4" t="s">
        <v>199</v>
      </c>
      <c r="M5" s="1" t="str">
        <f t="shared" si="1"/>
        <v>O3</v>
      </c>
      <c r="N5" s="4" t="s">
        <v>200</v>
      </c>
      <c r="O5" s="4" t="s">
        <v>201</v>
      </c>
      <c r="P5" s="3"/>
      <c r="Q5" s="4" t="s">
        <v>48</v>
      </c>
      <c r="R5" s="5" t="str">
        <f xml:space="preserve"> IF(Q5="", "", Q5&amp;"MI" &amp; COUNTIF($Q$3:Q5, Q5))</f>
        <v>O3MI1</v>
      </c>
      <c r="S5" s="4" t="s">
        <v>202</v>
      </c>
      <c r="T5" s="3"/>
      <c r="U5" s="4" t="s">
        <v>48</v>
      </c>
      <c r="V5" s="4" t="str">
        <f xml:space="preserve"> IF(U5="", "", U5&amp;"FI" &amp; COUNTIF($U$3:U5, U5))</f>
        <v>O3FI1</v>
      </c>
      <c r="W5" s="4" t="s">
        <v>203</v>
      </c>
    </row>
    <row r="6" spans="1:23" ht="60.7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204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76.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205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106.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206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Q3:Q18 U3:U29" xr:uid="{DC8103E0-2C7E-44AC-B8B4-5F5EC07B5272}">
      <formula1>$M$3:$M$12</formula1>
    </dataValidation>
    <dataValidation type="list" allowBlank="1" showInputMessage="1" showErrorMessage="1" sqref="U30:U65" xr:uid="{A1044BF5-B76C-465F-A2CE-74B32F4D7073}">
      <formula1>$G$3:$G$8</formula1>
    </dataValidation>
    <dataValidation type="list" allowBlank="1" showInputMessage="1" showErrorMessage="1" sqref="I21:I65" xr:uid="{1939A2B3-F159-42C8-AFC9-58D656D27628}">
      <formula1>$F$3:$F$8</formula1>
    </dataValidation>
    <dataValidation type="list" allowBlank="1" showInputMessage="1" showErrorMessage="1" sqref="E3:E51 I3:I20 Q19:Q51" xr:uid="{5A02F7A4-C0F4-4EF0-9538-7D74D193C130}">
      <formula1>$A$3:$A$12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8C13-B67A-46D4-9B23-45959738025F}">
  <dimension ref="A1:W65"/>
  <sheetViews>
    <sheetView zoomScale="87" workbookViewId="0">
      <selection activeCell="S3" sqref="S3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76.5">
      <c r="A3" s="1" t="str">
        <f>"C" &amp; ROW() - 2</f>
        <v>C1</v>
      </c>
      <c r="B3" s="4" t="s">
        <v>207</v>
      </c>
      <c r="C3" s="4" t="s">
        <v>208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209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210</v>
      </c>
      <c r="M3" s="1" t="str">
        <f>"O" &amp; ROW() - 2</f>
        <v>O1</v>
      </c>
      <c r="N3" s="4" t="s">
        <v>211</v>
      </c>
      <c r="O3" s="4" t="s">
        <v>212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213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214</v>
      </c>
    </row>
    <row r="4" spans="1:23" ht="106.5">
      <c r="A4" s="1" t="str">
        <f t="shared" ref="A4:A12" si="0">"C" &amp; ROW() - 2</f>
        <v>C2</v>
      </c>
      <c r="B4" s="4" t="s">
        <v>215</v>
      </c>
      <c r="C4" s="4" t="s">
        <v>216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217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218</v>
      </c>
      <c r="M4" s="1" t="str">
        <f t="shared" ref="M4:M12" si="1">"O" &amp; ROW() - 2</f>
        <v>O2</v>
      </c>
      <c r="N4" s="4" t="s">
        <v>219</v>
      </c>
      <c r="O4" s="4" t="s">
        <v>220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221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222</v>
      </c>
    </row>
    <row r="5" spans="1:23" ht="137.25">
      <c r="A5" s="1" t="str">
        <f t="shared" si="0"/>
        <v>C3</v>
      </c>
      <c r="B5" s="4" t="s">
        <v>223</v>
      </c>
      <c r="C5" s="4"/>
      <c r="D5" s="3"/>
      <c r="E5" s="4" t="s">
        <v>34</v>
      </c>
      <c r="F5" s="5" t="str">
        <f xml:space="preserve"> IF(E5="", "", E5&amp;"CI" &amp; COUNTIF($E$3:E5, E5))</f>
        <v>C2CI1</v>
      </c>
      <c r="G5" s="4" t="s">
        <v>224</v>
      </c>
      <c r="H5" s="3"/>
      <c r="I5" s="4"/>
      <c r="J5" s="4" t="str">
        <f xml:space="preserve"> IF(I5="", "", I5&amp;"EI" &amp; COUNTIF($I$3:I5, I5))</f>
        <v/>
      </c>
      <c r="K5" s="4"/>
      <c r="M5" s="1" t="str">
        <f t="shared" si="1"/>
        <v>O3</v>
      </c>
      <c r="N5" s="4" t="s">
        <v>225</v>
      </c>
      <c r="O5" s="4"/>
      <c r="P5" s="3"/>
      <c r="Q5" s="4" t="s">
        <v>48</v>
      </c>
      <c r="R5" s="5" t="str">
        <f xml:space="preserve"> IF(Q5="", "", Q5&amp;"MI" &amp; COUNTIF($Q$3:Q5, Q5))</f>
        <v>O3MI1</v>
      </c>
      <c r="S5" s="4" t="s">
        <v>226</v>
      </c>
      <c r="T5" s="3"/>
      <c r="U5" s="4"/>
      <c r="V5" s="4" t="str">
        <f xml:space="preserve"> IF(U5="", "", U5&amp;"FI" &amp; COUNTIF($U$3:U5, U5))</f>
        <v/>
      </c>
      <c r="W5" s="4"/>
    </row>
    <row r="6" spans="1:23" ht="76.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227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45.7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228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76.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229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Q3:Q18 U3:U29" xr:uid="{6A114CE3-A2FF-46C8-A0B4-1FD3AFCB274F}">
      <formula1>$M$3:$M$12</formula1>
    </dataValidation>
    <dataValidation type="list" allowBlank="1" showInputMessage="1" showErrorMessage="1" sqref="U30:U65" xr:uid="{248704AA-07B4-433F-B354-D085D5E117BA}">
      <formula1>$G$3:$G$8</formula1>
    </dataValidation>
    <dataValidation type="list" allowBlank="1" showInputMessage="1" showErrorMessage="1" sqref="I21:I65" xr:uid="{AFD578C5-68E9-4C6D-B237-5320430F5811}">
      <formula1>$F$3:$F$8</formula1>
    </dataValidation>
    <dataValidation type="list" allowBlank="1" showInputMessage="1" showErrorMessage="1" sqref="E3:E51 I3:I20 Q19:Q51" xr:uid="{C899C500-05DA-4F53-9951-4A320A83BD13}">
      <formula1>$A$3:$A$12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45BD-4FD4-4DAC-8D4A-6F0279B8A890}">
  <dimension ref="A1:W65"/>
  <sheetViews>
    <sheetView zoomScale="87" workbookViewId="0">
      <selection activeCell="W4" sqref="W4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76.5">
      <c r="A3" s="1" t="str">
        <f>"C" &amp; ROW() - 2</f>
        <v>C1</v>
      </c>
      <c r="B3" s="4" t="s">
        <v>230</v>
      </c>
      <c r="C3" s="4" t="s">
        <v>231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232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233</v>
      </c>
      <c r="M3" s="1" t="str">
        <f>"O" &amp; ROW() - 2</f>
        <v>O1</v>
      </c>
      <c r="N3" s="4" t="s">
        <v>234</v>
      </c>
      <c r="O3" s="4" t="s">
        <v>235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236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237</v>
      </c>
    </row>
    <row r="4" spans="1:23" ht="106.5">
      <c r="A4" s="1" t="str">
        <f t="shared" ref="A4:A12" si="0">"C" &amp; ROW() - 2</f>
        <v>C2</v>
      </c>
      <c r="B4" s="4" t="s">
        <v>238</v>
      </c>
      <c r="C4" s="4" t="s">
        <v>239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240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241</v>
      </c>
      <c r="M4" s="1" t="str">
        <f t="shared" ref="M4:M12" si="1">"O" &amp; ROW() - 2</f>
        <v>O2</v>
      </c>
      <c r="N4" s="4" t="s">
        <v>242</v>
      </c>
      <c r="O4" s="4" t="s">
        <v>243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244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245</v>
      </c>
    </row>
    <row r="5" spans="1:23" ht="60.75">
      <c r="A5" s="1" t="str">
        <f t="shared" si="0"/>
        <v>C3</v>
      </c>
      <c r="B5" s="4" t="s">
        <v>246</v>
      </c>
      <c r="C5" s="4"/>
      <c r="D5" s="3"/>
      <c r="E5" s="4" t="s">
        <v>34</v>
      </c>
      <c r="F5" s="5" t="str">
        <f xml:space="preserve"> IF(E5="", "", E5&amp;"CI" &amp; COUNTIF($E$3:E5, E5))</f>
        <v>C2CI1</v>
      </c>
      <c r="G5" s="4" t="s">
        <v>247</v>
      </c>
      <c r="H5" s="3"/>
      <c r="I5" s="4"/>
      <c r="J5" s="4" t="str">
        <f xml:space="preserve"> IF(I5="", "", I5&amp;"EI" &amp; COUNTIF($I$3:I5, I5))</f>
        <v/>
      </c>
      <c r="K5" s="4"/>
      <c r="M5" s="1" t="str">
        <f t="shared" si="1"/>
        <v>O3</v>
      </c>
      <c r="N5" s="4" t="s">
        <v>248</v>
      </c>
      <c r="O5" s="4"/>
      <c r="P5" s="3"/>
      <c r="Q5" s="4" t="s">
        <v>48</v>
      </c>
      <c r="R5" s="5" t="str">
        <f xml:space="preserve"> IF(Q5="", "", Q5&amp;"MI" &amp; COUNTIF($Q$3:Q5, Q5))</f>
        <v>O3MI1</v>
      </c>
      <c r="S5" s="4" t="s">
        <v>249</v>
      </c>
      <c r="T5" s="3"/>
      <c r="U5" s="4"/>
      <c r="V5" s="4" t="str">
        <f xml:space="preserve"> IF(U5="", "", U5&amp;"FI" &amp; COUNTIF($U$3:U5, U5))</f>
        <v/>
      </c>
      <c r="W5" s="4"/>
    </row>
    <row r="6" spans="1:23" ht="60.7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250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60.7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251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106.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252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E3:E51 I3:I20 Q19:Q51" xr:uid="{4AAB5B00-87A6-4852-8864-BFEA3C813FF9}">
      <formula1>$A$3:$A$12</formula1>
    </dataValidation>
    <dataValidation type="list" allowBlank="1" showInputMessage="1" showErrorMessage="1" sqref="I21:I65" xr:uid="{92ACC210-53A9-4BE3-A4B1-0C49024CAA99}">
      <formula1>$F$3:$F$8</formula1>
    </dataValidation>
    <dataValidation type="list" allowBlank="1" showInputMessage="1" showErrorMessage="1" sqref="U30:U65" xr:uid="{C548F0BE-EA59-4364-AF24-9FF496127873}">
      <formula1>$G$3:$G$8</formula1>
    </dataValidation>
    <dataValidation type="list" allowBlank="1" showInputMessage="1" showErrorMessage="1" sqref="Q3:Q18 U3:U29" xr:uid="{BBE5A9C6-DD2B-4CF0-816B-98E496D46B8E}">
      <formula1>$M$3:$M$12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E2D0-164F-4330-8560-19083284331A}">
  <dimension ref="A1:W65"/>
  <sheetViews>
    <sheetView zoomScale="87" workbookViewId="0">
      <selection sqref="A1:C1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106.5">
      <c r="A3" s="1" t="str">
        <f>"C" &amp; ROW() - 2</f>
        <v>C1</v>
      </c>
      <c r="B3" s="4" t="s">
        <v>253</v>
      </c>
      <c r="C3" s="4" t="s">
        <v>254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255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256</v>
      </c>
      <c r="M3" s="1" t="str">
        <f>"O" &amp; ROW() - 2</f>
        <v>O1</v>
      </c>
      <c r="N3" s="4" t="s">
        <v>257</v>
      </c>
      <c r="O3" s="4" t="s">
        <v>258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259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260</v>
      </c>
    </row>
    <row r="4" spans="1:23" ht="121.5">
      <c r="A4" s="1" t="str">
        <f t="shared" ref="A4:A12" si="0">"C" &amp; ROW() - 2</f>
        <v>C2</v>
      </c>
      <c r="B4" s="4" t="s">
        <v>261</v>
      </c>
      <c r="C4" s="4" t="s">
        <v>262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263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264</v>
      </c>
      <c r="M4" s="1" t="str">
        <f t="shared" ref="M4:M12" si="1">"O" &amp; ROW() - 2</f>
        <v>O2</v>
      </c>
      <c r="N4" s="4" t="s">
        <v>265</v>
      </c>
      <c r="O4" s="4" t="s">
        <v>266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267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268</v>
      </c>
    </row>
    <row r="5" spans="1:23" ht="60.75">
      <c r="A5" s="1" t="str">
        <f t="shared" si="0"/>
        <v>C3</v>
      </c>
      <c r="B5" s="4" t="s">
        <v>269</v>
      </c>
      <c r="C5" s="4"/>
      <c r="D5" s="3"/>
      <c r="E5" s="4" t="s">
        <v>34</v>
      </c>
      <c r="F5" s="5" t="str">
        <f xml:space="preserve"> IF(E5="", "", E5&amp;"CI" &amp; COUNTIF($E$3:E5, E5))</f>
        <v>C2CI1</v>
      </c>
      <c r="G5" s="4" t="s">
        <v>270</v>
      </c>
      <c r="H5" s="3"/>
      <c r="I5" s="4"/>
      <c r="J5" s="4" t="str">
        <f xml:space="preserve"> IF(I5="", "", I5&amp;"EI" &amp; COUNTIF($I$3:I5, I5))</f>
        <v/>
      </c>
      <c r="K5" s="4"/>
      <c r="M5" s="1" t="str">
        <f t="shared" si="1"/>
        <v>O3</v>
      </c>
      <c r="N5" s="4" t="s">
        <v>271</v>
      </c>
      <c r="O5" s="4"/>
      <c r="P5" s="3"/>
      <c r="Q5" s="4" t="s">
        <v>48</v>
      </c>
      <c r="R5" s="5" t="str">
        <f xml:space="preserve"> IF(Q5="", "", Q5&amp;"MI" &amp; COUNTIF($Q$3:Q5, Q5))</f>
        <v>O3MI1</v>
      </c>
      <c r="S5" s="4" t="s">
        <v>272</v>
      </c>
      <c r="T5" s="3"/>
      <c r="U5" s="4"/>
      <c r="V5" s="4" t="str">
        <f xml:space="preserve"> IF(U5="", "", U5&amp;"FI" &amp; COUNTIF($U$3:U5, U5))</f>
        <v/>
      </c>
      <c r="W5" s="4"/>
    </row>
    <row r="6" spans="1:23" ht="60.7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273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45.7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274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76.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275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Q3:Q18 U3:U29" xr:uid="{B2D537EA-C874-442B-8592-963D54B8DB9C}">
      <formula1>$M$3:$M$12</formula1>
    </dataValidation>
    <dataValidation type="list" allowBlank="1" showInputMessage="1" showErrorMessage="1" sqref="U30:U65" xr:uid="{EF0943C6-46BA-42A5-820E-1CFB24D26DA6}">
      <formula1>$G$3:$G$8</formula1>
    </dataValidation>
    <dataValidation type="list" allowBlank="1" showInputMessage="1" showErrorMessage="1" sqref="I21:I65" xr:uid="{7020CD51-FEA9-436F-866B-8C9BD3FA9797}">
      <formula1>$F$3:$F$8</formula1>
    </dataValidation>
    <dataValidation type="list" allowBlank="1" showInputMessage="1" showErrorMessage="1" sqref="E3:E51 I3:I20 Q19:Q51" xr:uid="{F9563A6A-A8DF-49DF-85DD-FD61D6D546AD}">
      <formula1>$A$3:$A$12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C9A2-60ED-4AA2-A7CF-0A13C504ACFB}">
  <dimension ref="A1:W65"/>
  <sheetViews>
    <sheetView zoomScale="87" workbookViewId="0">
      <selection activeCell="U6" sqref="U6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106.5">
      <c r="A3" s="1" t="str">
        <f>"C" &amp; ROW() - 2</f>
        <v>C1</v>
      </c>
      <c r="B3" s="4" t="s">
        <v>276</v>
      </c>
      <c r="C3" s="4" t="s">
        <v>277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278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279</v>
      </c>
      <c r="M3" s="1" t="str">
        <f>"O" &amp; ROW() - 2</f>
        <v>O1</v>
      </c>
      <c r="N3" s="4" t="s">
        <v>280</v>
      </c>
      <c r="O3" s="4" t="s">
        <v>281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282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283</v>
      </c>
    </row>
    <row r="4" spans="1:23" ht="91.5">
      <c r="A4" s="1" t="str">
        <f t="shared" ref="A4:A12" si="0">"C" &amp; ROW() - 2</f>
        <v>C2</v>
      </c>
      <c r="B4" s="4" t="s">
        <v>284</v>
      </c>
      <c r="C4" s="4" t="s">
        <v>285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286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287</v>
      </c>
      <c r="M4" s="1" t="str">
        <f t="shared" ref="M4:M12" si="1">"O" &amp; ROW() - 2</f>
        <v>O2</v>
      </c>
      <c r="N4" s="4" t="s">
        <v>288</v>
      </c>
      <c r="O4" s="4" t="s">
        <v>289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290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291</v>
      </c>
    </row>
    <row r="5" spans="1:23" ht="76.5">
      <c r="A5" s="1" t="str">
        <f t="shared" si="0"/>
        <v>C3</v>
      </c>
      <c r="B5" s="4" t="s">
        <v>292</v>
      </c>
      <c r="C5" s="4"/>
      <c r="D5" s="3"/>
      <c r="E5" s="4" t="s">
        <v>34</v>
      </c>
      <c r="F5" s="5" t="str">
        <f xml:space="preserve"> IF(E5="", "", E5&amp;"CI" &amp; COUNTIF($E$3:E5, E5))</f>
        <v>C2CI1</v>
      </c>
      <c r="G5" s="4" t="s">
        <v>293</v>
      </c>
      <c r="H5" s="3"/>
      <c r="I5" s="4"/>
      <c r="J5" s="4" t="str">
        <f xml:space="preserve"> IF(I5="", "", I5&amp;"EI" &amp; COUNTIF($I$3:I5, I5))</f>
        <v/>
      </c>
      <c r="K5" s="4"/>
      <c r="M5" s="1" t="str">
        <f t="shared" si="1"/>
        <v>O3</v>
      </c>
      <c r="N5" s="4" t="s">
        <v>294</v>
      </c>
      <c r="O5" s="4"/>
      <c r="P5" s="3"/>
      <c r="Q5" s="4" t="s">
        <v>48</v>
      </c>
      <c r="R5" s="5" t="str">
        <f xml:space="preserve"> IF(Q5="", "", Q5&amp;"MI" &amp; COUNTIF($Q$3:Q5, Q5))</f>
        <v>O3MI1</v>
      </c>
      <c r="S5" s="4" t="s">
        <v>295</v>
      </c>
      <c r="T5" s="3"/>
      <c r="U5" s="4"/>
      <c r="V5" s="4" t="str">
        <f xml:space="preserve"> IF(U5="", "", U5&amp;"FI" &amp; COUNTIF($U$3:U5, U5))</f>
        <v/>
      </c>
      <c r="W5" s="4"/>
    </row>
    <row r="6" spans="1:23" ht="76.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296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45.7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297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45.7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298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E3:E51 I3:I20 Q19:Q51" xr:uid="{E75414EA-933B-455D-A117-BCA263B621E0}">
      <formula1>$A$3:$A$12</formula1>
    </dataValidation>
    <dataValidation type="list" allowBlank="1" showInputMessage="1" showErrorMessage="1" sqref="I21:I65" xr:uid="{46B6AB52-8951-4F50-94F4-58DB1BCBF921}">
      <formula1>$F$3:$F$8</formula1>
    </dataValidation>
    <dataValidation type="list" allowBlank="1" showInputMessage="1" showErrorMessage="1" sqref="U30:U65" xr:uid="{68267B98-F73D-498B-8383-5A35ABA553B1}">
      <formula1>$G$3:$G$8</formula1>
    </dataValidation>
    <dataValidation type="list" allowBlank="1" showInputMessage="1" showErrorMessage="1" sqref="Q3:Q18 U3:U29" xr:uid="{CB224852-99F5-484D-9785-CC3E378CB594}">
      <formula1>$M$3:$M$12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DB42-332B-4037-8696-54B92E9EB4BC}">
  <dimension ref="A1:W65"/>
  <sheetViews>
    <sheetView zoomScale="87" workbookViewId="0">
      <selection activeCell="U6" sqref="U6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76.5">
      <c r="A3" s="1" t="str">
        <f>"C" &amp; ROW() - 2</f>
        <v>C1</v>
      </c>
      <c r="B3" s="4" t="s">
        <v>299</v>
      </c>
      <c r="C3" s="4" t="s">
        <v>300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301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302</v>
      </c>
      <c r="M3" s="1" t="str">
        <f>"O" &amp; ROW() - 2</f>
        <v>O1</v>
      </c>
      <c r="N3" s="4" t="s">
        <v>303</v>
      </c>
      <c r="O3" s="4" t="s">
        <v>304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305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306</v>
      </c>
    </row>
    <row r="4" spans="1:23" ht="121.5">
      <c r="A4" s="1" t="str">
        <f t="shared" ref="A4:A12" si="0">"C" &amp; ROW() - 2</f>
        <v>C2</v>
      </c>
      <c r="B4" s="4" t="s">
        <v>307</v>
      </c>
      <c r="C4" s="4" t="s">
        <v>308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309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310</v>
      </c>
      <c r="M4" s="1" t="str">
        <f t="shared" ref="M4:M12" si="1">"O" &amp; ROW() - 2</f>
        <v>O2</v>
      </c>
      <c r="N4" s="4" t="s">
        <v>311</v>
      </c>
      <c r="O4" s="4" t="s">
        <v>312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313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314</v>
      </c>
    </row>
    <row r="5" spans="1:23" ht="91.5">
      <c r="A5" s="1" t="str">
        <f t="shared" si="0"/>
        <v>C3</v>
      </c>
      <c r="B5" s="4" t="s">
        <v>315</v>
      </c>
      <c r="C5" s="4"/>
      <c r="D5" s="3"/>
      <c r="E5" s="4" t="s">
        <v>34</v>
      </c>
      <c r="F5" s="5" t="str">
        <f xml:space="preserve"> IF(E5="", "", E5&amp;"CI" &amp; COUNTIF($E$3:E5, E5))</f>
        <v>C2CI1</v>
      </c>
      <c r="G5" s="4" t="s">
        <v>316</v>
      </c>
      <c r="H5" s="3"/>
      <c r="I5" s="4"/>
      <c r="J5" s="4" t="str">
        <f xml:space="preserve"> IF(I5="", "", I5&amp;"EI" &amp; COUNTIF($I$3:I5, I5))</f>
        <v/>
      </c>
      <c r="K5" s="4"/>
      <c r="M5" s="1" t="str">
        <f t="shared" si="1"/>
        <v>O3</v>
      </c>
      <c r="N5" s="4" t="s">
        <v>317</v>
      </c>
      <c r="O5" s="4"/>
      <c r="P5" s="3"/>
      <c r="Q5" s="4" t="s">
        <v>48</v>
      </c>
      <c r="R5" s="5" t="str">
        <f xml:space="preserve"> IF(Q5="", "", Q5&amp;"MI" &amp; COUNTIF($Q$3:Q5, Q5))</f>
        <v>O3MI1</v>
      </c>
      <c r="S5" s="4" t="s">
        <v>318</v>
      </c>
      <c r="T5" s="3"/>
      <c r="U5" s="4"/>
      <c r="V5" s="4" t="str">
        <f xml:space="preserve"> IF(U5="", "", U5&amp;"FI" &amp; COUNTIF($U$3:U5, U5))</f>
        <v/>
      </c>
      <c r="W5" s="4"/>
    </row>
    <row r="6" spans="1:23" ht="60.7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319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45.7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320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45.7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321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Q3:Q18 U3:U29" xr:uid="{095578AD-E503-41E3-BF4D-80AE569ED6B5}">
      <formula1>$M$3:$M$12</formula1>
    </dataValidation>
    <dataValidation type="list" allowBlank="1" showInputMessage="1" showErrorMessage="1" sqref="U30:U65" xr:uid="{D5973384-1A53-4DEF-82AE-62CD3E5FCB50}">
      <formula1>$G$3:$G$8</formula1>
    </dataValidation>
    <dataValidation type="list" allowBlank="1" showInputMessage="1" showErrorMessage="1" sqref="I21:I65" xr:uid="{17BDCF94-F4AD-4BFE-988A-CCD7CAF3C368}">
      <formula1>$F$3:$F$8</formula1>
    </dataValidation>
    <dataValidation type="list" allowBlank="1" showInputMessage="1" showErrorMessage="1" sqref="E3:E51 I3:I20 Q19:Q51" xr:uid="{E024DF01-80C9-40F1-B86E-F68C2574D958}">
      <formula1>$A$3:$A$12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EEC9-B74D-4424-9A5D-A5FAB7579A43}">
  <dimension ref="A1:W65"/>
  <sheetViews>
    <sheetView zoomScale="87" workbookViewId="0">
      <selection activeCell="A3" sqref="A3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76.5">
      <c r="A3" s="1" t="str">
        <f>"C" &amp; ROW() - 2</f>
        <v>C1</v>
      </c>
      <c r="B3" s="4" t="s">
        <v>322</v>
      </c>
      <c r="C3" s="4" t="s">
        <v>323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324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325</v>
      </c>
      <c r="M3" s="1" t="str">
        <f>"O" &amp; ROW() - 2</f>
        <v>O1</v>
      </c>
      <c r="N3" s="4" t="s">
        <v>326</v>
      </c>
      <c r="O3" s="4" t="s">
        <v>327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328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329</v>
      </c>
    </row>
    <row r="4" spans="1:23" ht="76.5">
      <c r="A4" s="1" t="str">
        <f t="shared" ref="A4:A12" si="0">"C" &amp; ROW() - 2</f>
        <v>C2</v>
      </c>
      <c r="B4" s="4" t="s">
        <v>330</v>
      </c>
      <c r="C4" s="4" t="s">
        <v>331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332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333</v>
      </c>
      <c r="M4" s="1" t="str">
        <f t="shared" ref="M4:M12" si="1">"O" &amp; ROW() - 2</f>
        <v>O2</v>
      </c>
      <c r="N4" s="4" t="s">
        <v>334</v>
      </c>
      <c r="O4" s="4" t="s">
        <v>335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336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337</v>
      </c>
    </row>
    <row r="5" spans="1:23" ht="91.5">
      <c r="A5" s="1" t="str">
        <f t="shared" si="0"/>
        <v>C3</v>
      </c>
      <c r="B5" s="4" t="s">
        <v>338</v>
      </c>
      <c r="C5" s="4"/>
      <c r="D5" s="3"/>
      <c r="E5" s="4" t="s">
        <v>34</v>
      </c>
      <c r="F5" s="5" t="str">
        <f xml:space="preserve"> IF(E5="", "", E5&amp;"CI" &amp; COUNTIF($E$3:E5, E5))</f>
        <v>C2CI1</v>
      </c>
      <c r="G5" s="4" t="s">
        <v>339</v>
      </c>
      <c r="H5" s="3"/>
      <c r="I5" s="4"/>
      <c r="J5" s="4" t="str">
        <f xml:space="preserve"> IF(I5="", "", I5&amp;"EI" &amp; COUNTIF($I$3:I5, I5))</f>
        <v/>
      </c>
      <c r="K5" s="4"/>
      <c r="M5" s="1" t="str">
        <f t="shared" si="1"/>
        <v>O3</v>
      </c>
      <c r="N5" s="4" t="s">
        <v>340</v>
      </c>
      <c r="O5" s="4"/>
      <c r="P5" s="3"/>
      <c r="Q5" s="4" t="s">
        <v>48</v>
      </c>
      <c r="R5" s="5" t="str">
        <f xml:space="preserve"> IF(Q5="", "", Q5&amp;"MI" &amp; COUNTIF($Q$3:Q5, Q5))</f>
        <v>O3MI1</v>
      </c>
      <c r="S5" s="4" t="s">
        <v>341</v>
      </c>
      <c r="T5" s="3"/>
      <c r="U5" s="4"/>
      <c r="V5" s="4" t="str">
        <f xml:space="preserve"> IF(U5="", "", U5&amp;"FI" &amp; COUNTIF($U$3:U5, U5))</f>
        <v/>
      </c>
      <c r="W5" s="4"/>
    </row>
    <row r="6" spans="1:23" ht="91.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342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76.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343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45.7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344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E3:E51 I3:I20 Q19:Q51" xr:uid="{B1DE4376-51A6-4885-BDC3-3D687E347823}">
      <formula1>$A$3:$A$12</formula1>
    </dataValidation>
    <dataValidation type="list" allowBlank="1" showInputMessage="1" showErrorMessage="1" sqref="I21:I65" xr:uid="{6BF25EBF-000C-4E14-BB08-8139278245CA}">
      <formula1>$F$3:$F$8</formula1>
    </dataValidation>
    <dataValidation type="list" allowBlank="1" showInputMessage="1" showErrorMessage="1" sqref="U30:U65" xr:uid="{1B73FCB6-235D-4492-B87A-987817DF326D}">
      <formula1>$G$3:$G$8</formula1>
    </dataValidation>
    <dataValidation type="list" allowBlank="1" showInputMessage="1" showErrorMessage="1" sqref="Q3:Q18 U3:U29" xr:uid="{8D9B8C47-6BE6-4582-839F-8B8EB063C87A}">
      <formula1>$M$3:$M$12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691F-63C5-4047-97D7-75C59088C196}">
  <dimension ref="A1:W65"/>
  <sheetViews>
    <sheetView tabSelected="1" topLeftCell="N1" zoomScale="87" workbookViewId="0">
      <selection activeCell="W5" sqref="W5"/>
    </sheetView>
  </sheetViews>
  <sheetFormatPr defaultColWidth="11.42578125" defaultRowHeight="14.1"/>
  <cols>
    <col min="1" max="1" width="9.28515625" bestFit="1" customWidth="1"/>
    <col min="2" max="2" width="23.140625" bestFit="1" customWidth="1"/>
    <col min="3" max="3" width="29" bestFit="1" customWidth="1"/>
    <col min="5" max="5" width="8.5703125" bestFit="1" customWidth="1"/>
    <col min="6" max="6" width="19.28515625" bestFit="1" customWidth="1"/>
    <col min="7" max="7" width="32.140625" bestFit="1" customWidth="1"/>
    <col min="9" max="9" width="19.42578125" bestFit="1" customWidth="1"/>
    <col min="10" max="10" width="20.28515625" bestFit="1" customWidth="1"/>
    <col min="11" max="11" width="26.85546875" bestFit="1" customWidth="1"/>
    <col min="14" max="14" width="24.28515625" bestFit="1" customWidth="1"/>
    <col min="15" max="15" width="24.85546875" bestFit="1" customWidth="1"/>
    <col min="18" max="18" width="19.7109375" bestFit="1" customWidth="1"/>
    <col min="19" max="19" width="30.42578125" bestFit="1" customWidth="1"/>
    <col min="21" max="21" width="19.7109375" bestFit="1" customWidth="1"/>
    <col min="22" max="22" width="20.5703125" bestFit="1" customWidth="1"/>
    <col min="23" max="23" width="29.42578125" bestFit="1" customWidth="1"/>
  </cols>
  <sheetData>
    <row r="1" spans="1:23">
      <c r="A1" s="12" t="s">
        <v>0</v>
      </c>
      <c r="B1" s="12"/>
      <c r="C1" s="12"/>
      <c r="E1" s="13" t="s">
        <v>1</v>
      </c>
      <c r="F1" s="13"/>
      <c r="G1" s="13"/>
      <c r="I1" s="14" t="s">
        <v>2</v>
      </c>
      <c r="J1" s="15"/>
      <c r="K1" s="16"/>
      <c r="M1" s="17" t="s">
        <v>3</v>
      </c>
      <c r="N1" s="17"/>
      <c r="O1" s="17"/>
      <c r="Q1" s="18" t="s">
        <v>4</v>
      </c>
      <c r="R1" s="18"/>
      <c r="S1" s="18"/>
      <c r="U1" s="9" t="s">
        <v>5</v>
      </c>
      <c r="V1" s="10"/>
      <c r="W1" s="11"/>
    </row>
    <row r="2" spans="1:23">
      <c r="A2" s="8" t="s">
        <v>6</v>
      </c>
      <c r="B2" s="8" t="s">
        <v>7</v>
      </c>
      <c r="C2" s="8" t="s">
        <v>8</v>
      </c>
      <c r="E2" s="8" t="s">
        <v>9</v>
      </c>
      <c r="F2" s="8" t="s">
        <v>10</v>
      </c>
      <c r="G2" s="8" t="s">
        <v>11</v>
      </c>
      <c r="I2" s="8" t="s">
        <v>10</v>
      </c>
      <c r="J2" s="8" t="s">
        <v>12</v>
      </c>
      <c r="K2" s="8" t="s">
        <v>13</v>
      </c>
      <c r="M2" s="2" t="s">
        <v>14</v>
      </c>
      <c r="N2" s="2" t="s">
        <v>15</v>
      </c>
      <c r="O2" s="2" t="s">
        <v>16</v>
      </c>
      <c r="Q2" s="2" t="s">
        <v>14</v>
      </c>
      <c r="R2" s="2" t="s">
        <v>17</v>
      </c>
      <c r="S2" s="2" t="s">
        <v>18</v>
      </c>
      <c r="U2" s="2" t="s">
        <v>14</v>
      </c>
      <c r="V2" s="2" t="s">
        <v>19</v>
      </c>
      <c r="W2" s="2" t="s">
        <v>20</v>
      </c>
    </row>
    <row r="3" spans="1:23" ht="76.5">
      <c r="A3" s="1" t="str">
        <f>"C" &amp; ROW() - 2</f>
        <v>C1</v>
      </c>
      <c r="B3" s="4" t="s">
        <v>345</v>
      </c>
      <c r="C3" s="4" t="s">
        <v>346</v>
      </c>
      <c r="D3" s="3"/>
      <c r="E3" s="4" t="s">
        <v>23</v>
      </c>
      <c r="F3" s="5" t="str">
        <f xml:space="preserve"> IF(E3="", "", E3&amp;"CI" &amp; COUNTIF($E$3:E3, E3))</f>
        <v>C1CI1</v>
      </c>
      <c r="G3" s="4" t="s">
        <v>347</v>
      </c>
      <c r="H3" s="3"/>
      <c r="I3" s="4" t="s">
        <v>23</v>
      </c>
      <c r="J3" s="4" t="str">
        <f xml:space="preserve"> IF(I3="", "", I3&amp;"EI" &amp; COUNTIF($I$3:I3, I3))</f>
        <v>C1EI1</v>
      </c>
      <c r="K3" s="4" t="s">
        <v>348</v>
      </c>
      <c r="M3" s="1" t="str">
        <f>"O" &amp; ROW() - 2</f>
        <v>O1</v>
      </c>
      <c r="N3" s="4" t="s">
        <v>349</v>
      </c>
      <c r="O3" s="4" t="s">
        <v>350</v>
      </c>
      <c r="P3" s="3"/>
      <c r="Q3" s="4" t="s">
        <v>28</v>
      </c>
      <c r="R3" s="5" t="str">
        <f xml:space="preserve"> IF(Q3="", "", Q3&amp;"MI" &amp; COUNTIF($Q$3:Q3, Q3))</f>
        <v>O1MI1</v>
      </c>
      <c r="S3" s="4" t="s">
        <v>351</v>
      </c>
      <c r="T3" s="3"/>
      <c r="U3" s="4" t="s">
        <v>28</v>
      </c>
      <c r="V3" s="4" t="str">
        <f xml:space="preserve"> IF(U3="", "", U3&amp;"FI" &amp; COUNTIF($U$3:U3, U3))</f>
        <v>O1FI1</v>
      </c>
      <c r="W3" s="4" t="s">
        <v>352</v>
      </c>
    </row>
    <row r="4" spans="1:23" ht="91.5">
      <c r="A4" s="1" t="str">
        <f t="shared" ref="A4:A12" si="0">"C" &amp; ROW() - 2</f>
        <v>C2</v>
      </c>
      <c r="B4" s="4" t="s">
        <v>353</v>
      </c>
      <c r="C4" s="4" t="s">
        <v>354</v>
      </c>
      <c r="D4" s="3"/>
      <c r="E4" s="4" t="s">
        <v>23</v>
      </c>
      <c r="F4" s="5" t="str">
        <f xml:space="preserve"> IF(E4="", "", E4&amp;"CI" &amp; COUNTIF($E$3:E4, E4))</f>
        <v>C1CI2</v>
      </c>
      <c r="G4" s="4" t="s">
        <v>355</v>
      </c>
      <c r="H4" s="3"/>
      <c r="I4" s="4" t="s">
        <v>34</v>
      </c>
      <c r="J4" s="4" t="str">
        <f xml:space="preserve"> IF(I4="", "", I4&amp;"EI" &amp; COUNTIF($I$3:I4, I4))</f>
        <v>C2EI1</v>
      </c>
      <c r="K4" s="4" t="s">
        <v>356</v>
      </c>
      <c r="M4" s="1" t="str">
        <f t="shared" ref="M4:M12" si="1">"O" &amp; ROW() - 2</f>
        <v>O2</v>
      </c>
      <c r="N4" s="4" t="s">
        <v>357</v>
      </c>
      <c r="O4" s="4" t="s">
        <v>358</v>
      </c>
      <c r="P4" s="3"/>
      <c r="Q4" s="4" t="s">
        <v>38</v>
      </c>
      <c r="R4" s="5" t="str">
        <f xml:space="preserve"> IF(Q4="", "", Q4&amp;"MI" &amp; COUNTIF($Q$3:Q4, Q4))</f>
        <v>O2MI1</v>
      </c>
      <c r="S4" s="4" t="s">
        <v>359</v>
      </c>
      <c r="T4" s="3"/>
      <c r="U4" s="4" t="s">
        <v>38</v>
      </c>
      <c r="V4" s="4" t="str">
        <f xml:space="preserve"> IF(U4="", "", U4&amp;"FI" &amp; COUNTIF($U$3:U4, U4))</f>
        <v>O2FI1</v>
      </c>
      <c r="W4" s="4" t="s">
        <v>360</v>
      </c>
    </row>
    <row r="5" spans="1:23" ht="76.5">
      <c r="A5" s="1" t="str">
        <f t="shared" si="0"/>
        <v>C3</v>
      </c>
      <c r="B5" s="4" t="s">
        <v>361</v>
      </c>
      <c r="C5" s="4"/>
      <c r="D5" s="3"/>
      <c r="E5" s="4" t="s">
        <v>34</v>
      </c>
      <c r="F5" s="5" t="str">
        <f xml:space="preserve"> IF(E5="", "", E5&amp;"CI" &amp; COUNTIF($E$3:E5, E5))</f>
        <v>C2CI1</v>
      </c>
      <c r="G5" s="4" t="s">
        <v>362</v>
      </c>
      <c r="H5" s="3"/>
      <c r="I5" s="4"/>
      <c r="J5" s="4" t="str">
        <f xml:space="preserve"> IF(I5="", "", I5&amp;"EI" &amp; COUNTIF($I$3:I5, I5))</f>
        <v/>
      </c>
      <c r="K5" s="4"/>
      <c r="M5" s="1" t="str">
        <f t="shared" si="1"/>
        <v>O3</v>
      </c>
      <c r="N5" s="4" t="s">
        <v>363</v>
      </c>
      <c r="O5" s="4"/>
      <c r="P5" s="3"/>
      <c r="Q5" s="4" t="s">
        <v>48</v>
      </c>
      <c r="R5" s="5" t="str">
        <f xml:space="preserve"> IF(Q5="", "", Q5&amp;"MI" &amp; COUNTIF($Q$3:Q5, Q5))</f>
        <v>O3MI1</v>
      </c>
      <c r="S5" s="4" t="s">
        <v>364</v>
      </c>
      <c r="T5" s="3"/>
      <c r="U5" s="4"/>
      <c r="V5" s="4" t="str">
        <f xml:space="preserve"> IF(U5="", "", U5&amp;"FI" &amp; COUNTIF($U$3:U5, U5))</f>
        <v/>
      </c>
      <c r="W5" s="4"/>
    </row>
    <row r="6" spans="1:23" ht="30.75">
      <c r="A6" s="1" t="str">
        <f t="shared" si="0"/>
        <v>C4</v>
      </c>
      <c r="B6" s="4"/>
      <c r="C6" s="4"/>
      <c r="D6" s="3"/>
      <c r="E6" s="4" t="s">
        <v>34</v>
      </c>
      <c r="F6" s="5" t="str">
        <f xml:space="preserve"> IF(E6="", "", E6&amp;"CI" &amp; COUNTIF($E$3:E6, E6))</f>
        <v>C2CI2</v>
      </c>
      <c r="G6" s="4" t="s">
        <v>365</v>
      </c>
      <c r="H6" s="3"/>
      <c r="I6" s="4"/>
      <c r="J6" s="4" t="str">
        <f xml:space="preserve"> IF(I6="", "", I6&amp;"EI" &amp; COUNTIF($I$3:I6, I6))</f>
        <v/>
      </c>
      <c r="K6" s="4"/>
      <c r="M6" s="1" t="str">
        <f t="shared" si="1"/>
        <v>O4</v>
      </c>
      <c r="N6" s="4"/>
      <c r="O6" s="4"/>
      <c r="P6" s="3"/>
      <c r="Q6" s="4"/>
      <c r="R6" s="5" t="str">
        <f xml:space="preserve"> IF(Q6="", "", Q6&amp;"MI" &amp; COUNTIF($Q$3:Q6, Q6))</f>
        <v/>
      </c>
      <c r="S6" s="4"/>
      <c r="T6" s="3"/>
      <c r="U6" s="4"/>
      <c r="V6" s="4" t="str">
        <f xml:space="preserve"> IF(U6="", "", U6&amp;"FI" &amp; COUNTIF($U$3:U6, U6))</f>
        <v/>
      </c>
      <c r="W6" s="4"/>
    </row>
    <row r="7" spans="1:23" ht="76.5">
      <c r="A7" s="1" t="str">
        <f t="shared" si="0"/>
        <v>C5</v>
      </c>
      <c r="B7" s="4"/>
      <c r="C7" s="4"/>
      <c r="D7" s="3"/>
      <c r="E7" s="4" t="s">
        <v>44</v>
      </c>
      <c r="F7" s="5" t="str">
        <f xml:space="preserve"> IF(E7="", "", E7&amp;"CI" &amp; COUNTIF($E$3:E7, E7))</f>
        <v>C3CI1</v>
      </c>
      <c r="G7" s="4" t="s">
        <v>366</v>
      </c>
      <c r="H7" s="3"/>
      <c r="I7" s="4"/>
      <c r="J7" s="4" t="str">
        <f xml:space="preserve"> IF(I7="", "", I7&amp;"EI" &amp; COUNTIF($I$3:I7, I7))</f>
        <v/>
      </c>
      <c r="K7" s="4"/>
      <c r="M7" s="1" t="str">
        <f t="shared" si="1"/>
        <v>O5</v>
      </c>
      <c r="N7" s="4"/>
      <c r="O7" s="4"/>
      <c r="P7" s="3"/>
      <c r="Q7" s="4"/>
      <c r="R7" s="5" t="str">
        <f xml:space="preserve"> IF(Q7="", "", Q7&amp;"MI" &amp; COUNTIF($Q$3:Q7, Q7))</f>
        <v/>
      </c>
      <c r="S7" s="4"/>
      <c r="T7" s="3"/>
      <c r="U7" s="4"/>
      <c r="V7" s="4" t="str">
        <f xml:space="preserve"> IF(U7="", "", U7&amp;"FI" &amp; COUNTIF($U$3:U7, U7))</f>
        <v/>
      </c>
      <c r="W7" s="4"/>
    </row>
    <row r="8" spans="1:23" ht="45.75">
      <c r="A8" s="1" t="str">
        <f t="shared" si="0"/>
        <v>C6</v>
      </c>
      <c r="B8" s="4"/>
      <c r="C8" s="4"/>
      <c r="D8" s="3"/>
      <c r="E8" s="4" t="s">
        <v>44</v>
      </c>
      <c r="F8" s="5" t="str">
        <f xml:space="preserve"> IF(E8="", "", E8&amp;"CI" &amp; COUNTIF($E$3:E8, E8))</f>
        <v>C3CI2</v>
      </c>
      <c r="G8" s="4" t="s">
        <v>367</v>
      </c>
      <c r="H8" s="3"/>
      <c r="I8" s="4"/>
      <c r="J8" s="4" t="str">
        <f xml:space="preserve"> IF(I8="", "", I8&amp;"EI" &amp; COUNTIF($I$3:I8, I8))</f>
        <v/>
      </c>
      <c r="K8" s="4"/>
      <c r="M8" s="1" t="str">
        <f t="shared" si="1"/>
        <v>O6</v>
      </c>
      <c r="N8" s="4"/>
      <c r="O8" s="4"/>
      <c r="P8" s="3"/>
      <c r="Q8" s="4"/>
      <c r="R8" s="5" t="str">
        <f xml:space="preserve"> IF(Q8="", "", Q8&amp;"MI" &amp; COUNTIF($Q$3:Q8, Q8))</f>
        <v/>
      </c>
      <c r="S8" s="4"/>
      <c r="T8" s="3"/>
      <c r="U8" s="4"/>
      <c r="V8" s="4" t="str">
        <f xml:space="preserve"> IF(U8="", "", U8&amp;"FI" &amp; COUNTIF($U$3:U8, U8))</f>
        <v/>
      </c>
      <c r="W8" s="4"/>
    </row>
    <row r="9" spans="1:23">
      <c r="A9" s="1" t="str">
        <f t="shared" si="0"/>
        <v>C7</v>
      </c>
      <c r="B9" s="4"/>
      <c r="C9" s="4"/>
      <c r="D9" s="3"/>
      <c r="E9" s="4"/>
      <c r="F9" s="5" t="str">
        <f xml:space="preserve"> IF(E9="", "", E9&amp;"CI" &amp; COUNTIF($E$3:E9, E9))</f>
        <v/>
      </c>
      <c r="G9" s="4"/>
      <c r="H9" s="3"/>
      <c r="I9" s="4"/>
      <c r="J9" s="4" t="str">
        <f xml:space="preserve"> IF(I9="", "", I9&amp;"EI" &amp; COUNTIF($I$3:I9, I9))</f>
        <v/>
      </c>
      <c r="K9" s="4"/>
      <c r="M9" s="1" t="str">
        <f t="shared" si="1"/>
        <v>O7</v>
      </c>
      <c r="N9" s="4"/>
      <c r="O9" s="4"/>
      <c r="P9" s="3"/>
      <c r="Q9" s="4"/>
      <c r="R9" s="5" t="str">
        <f xml:space="preserve"> IF(Q9="", "", Q9&amp;"MI" &amp; COUNTIF($Q$3:Q9, Q9))</f>
        <v/>
      </c>
      <c r="S9" s="4"/>
      <c r="T9" s="3"/>
      <c r="U9" s="4"/>
      <c r="V9" s="4" t="str">
        <f xml:space="preserve"> IF(U9="", "", U9&amp;"FI" &amp; COUNTIF($U$3:U9, U9))</f>
        <v/>
      </c>
      <c r="W9" s="4"/>
    </row>
    <row r="10" spans="1:23">
      <c r="A10" s="1" t="str">
        <f t="shared" si="0"/>
        <v>C8</v>
      </c>
      <c r="B10" s="4"/>
      <c r="C10" s="4"/>
      <c r="D10" s="3"/>
      <c r="E10" s="4"/>
      <c r="F10" s="5" t="str">
        <f xml:space="preserve"> IF(E10="", "", E10&amp;"CI" &amp; COUNTIF($E$3:E10, E10))</f>
        <v/>
      </c>
      <c r="G10" s="4"/>
      <c r="H10" s="3"/>
      <c r="I10" s="4"/>
      <c r="J10" s="4" t="str">
        <f xml:space="preserve"> IF(I10="", "", I10&amp;"EI" &amp; COUNTIF($I$3:I10, I10))</f>
        <v/>
      </c>
      <c r="K10" s="4"/>
      <c r="M10" s="1" t="str">
        <f t="shared" si="1"/>
        <v>O8</v>
      </c>
      <c r="N10" s="4"/>
      <c r="O10" s="4"/>
      <c r="P10" s="3"/>
      <c r="Q10" s="4"/>
      <c r="R10" s="5" t="str">
        <f xml:space="preserve"> IF(Q10="", "", Q10&amp;"MI" &amp; COUNTIF($Q$3:Q10, Q10))</f>
        <v/>
      </c>
      <c r="S10" s="4"/>
      <c r="T10" s="3"/>
      <c r="U10" s="4"/>
      <c r="V10" s="4" t="str">
        <f xml:space="preserve"> IF(U10="", "", U10&amp;"FI" &amp; COUNTIF($U$3:U10, U10))</f>
        <v/>
      </c>
      <c r="W10" s="4"/>
    </row>
    <row r="11" spans="1:23">
      <c r="A11" s="1" t="str">
        <f t="shared" si="0"/>
        <v>C9</v>
      </c>
      <c r="B11" s="4"/>
      <c r="C11" s="4"/>
      <c r="D11" s="3"/>
      <c r="E11" s="4"/>
      <c r="F11" s="5" t="str">
        <f xml:space="preserve"> IF(E11="", "", E11&amp;"CI" &amp; COUNTIF($E$3:E11, E11))</f>
        <v/>
      </c>
      <c r="G11" s="4"/>
      <c r="H11" s="3"/>
      <c r="I11" s="4"/>
      <c r="J11" s="4" t="str">
        <f xml:space="preserve"> IF(I11="", "", I11&amp;"EI" &amp; COUNTIF($I$3:I11, I11))</f>
        <v/>
      </c>
      <c r="K11" s="4"/>
      <c r="M11" s="1" t="str">
        <f t="shared" si="1"/>
        <v>O9</v>
      </c>
      <c r="N11" s="4"/>
      <c r="O11" s="4"/>
      <c r="P11" s="3"/>
      <c r="Q11" s="4"/>
      <c r="R11" s="5" t="str">
        <f xml:space="preserve"> IF(Q11="", "", Q11&amp;"MI" &amp; COUNTIF($Q$3:Q11, Q11))</f>
        <v/>
      </c>
      <c r="S11" s="4"/>
      <c r="T11" s="3"/>
      <c r="U11" s="4"/>
      <c r="V11" s="4" t="str">
        <f xml:space="preserve"> IF(U11="", "", U11&amp;"FI" &amp; COUNTIF($U$3:U11, U11))</f>
        <v/>
      </c>
      <c r="W11" s="4"/>
    </row>
    <row r="12" spans="1:23">
      <c r="A12" s="1" t="str">
        <f t="shared" si="0"/>
        <v>C10</v>
      </c>
      <c r="B12" s="4"/>
      <c r="C12" s="4"/>
      <c r="D12" s="3"/>
      <c r="E12" s="4"/>
      <c r="F12" s="5" t="str">
        <f xml:space="preserve"> IF(E12="", "", E12&amp;"CI" &amp; COUNTIF($E$3:E12, E12))</f>
        <v/>
      </c>
      <c r="G12" s="4"/>
      <c r="H12" s="3"/>
      <c r="I12" s="4"/>
      <c r="J12" s="4" t="str">
        <f xml:space="preserve"> IF(I12="", "", I12&amp;"EI" &amp; COUNTIF($I$3:I12, I12))</f>
        <v/>
      </c>
      <c r="K12" s="4"/>
      <c r="M12" s="1" t="str">
        <f t="shared" si="1"/>
        <v>O10</v>
      </c>
      <c r="N12" s="4"/>
      <c r="O12" s="4"/>
      <c r="P12" s="3"/>
      <c r="Q12" s="4"/>
      <c r="R12" s="5" t="str">
        <f xml:space="preserve"> IF(Q12="", "", Q12&amp;"MI" &amp; COUNTIF($Q$3:Q12, Q12))</f>
        <v/>
      </c>
      <c r="S12" s="4"/>
      <c r="T12" s="3"/>
      <c r="U12" s="4"/>
      <c r="V12" s="4" t="str">
        <f xml:space="preserve"> IF(U12="", "", U12&amp;"FI" &amp; COUNTIF($U$3:U12, U12))</f>
        <v/>
      </c>
      <c r="W12" s="4"/>
    </row>
    <row r="13" spans="1:23">
      <c r="B13" s="3"/>
      <c r="C13" s="3"/>
      <c r="D13" s="3"/>
      <c r="E13" s="4"/>
      <c r="F13" s="5" t="str">
        <f xml:space="preserve"> IF(E13="", "", E13&amp;"CI" &amp; COUNTIF($E$3:E13, E13))</f>
        <v/>
      </c>
      <c r="G13" s="4"/>
      <c r="H13" s="3"/>
      <c r="I13" s="4"/>
      <c r="J13" s="4" t="str">
        <f xml:space="preserve"> IF(I13="", "", I13&amp;"EI" &amp; COUNTIF($I$3:I13, I13))</f>
        <v/>
      </c>
      <c r="K13" s="4"/>
      <c r="N13" s="3"/>
      <c r="O13" s="3"/>
      <c r="P13" s="3"/>
      <c r="Q13" s="4"/>
      <c r="R13" s="5" t="str">
        <f xml:space="preserve"> IF(Q13="", "", Q13&amp;"MI" &amp; COUNTIF($Q$3:Q13, Q13))</f>
        <v/>
      </c>
      <c r="S13" s="4"/>
      <c r="T13" s="3"/>
      <c r="U13" s="4"/>
      <c r="V13" s="4" t="str">
        <f xml:space="preserve"> IF(U13="", "", U13&amp;"FI" &amp; COUNTIF($U$3:U13, U13))</f>
        <v/>
      </c>
      <c r="W13" s="4"/>
    </row>
    <row r="14" spans="1:23">
      <c r="B14" s="3"/>
      <c r="C14" s="3"/>
      <c r="D14" s="3"/>
      <c r="E14" s="4"/>
      <c r="F14" s="5" t="str">
        <f xml:space="preserve"> IF(E14="", "", E14&amp;"CI" &amp; COUNTIF($E$3:E14, E14))</f>
        <v/>
      </c>
      <c r="G14" s="4"/>
      <c r="H14" s="3"/>
      <c r="I14" s="4"/>
      <c r="J14" s="4" t="str">
        <f xml:space="preserve"> IF(I14="", "", I14&amp;"EI" &amp; COUNTIF($I$3:I14, I14))</f>
        <v/>
      </c>
      <c r="K14" s="4"/>
      <c r="N14" s="3"/>
      <c r="O14" s="3"/>
      <c r="P14" s="3"/>
      <c r="Q14" s="4"/>
      <c r="R14" s="5" t="str">
        <f xml:space="preserve"> IF(Q14="", "", Q14&amp;"MI" &amp; COUNTIF($Q$3:Q14, Q14))</f>
        <v/>
      </c>
      <c r="S14" s="4"/>
      <c r="T14" s="3"/>
      <c r="U14" s="4"/>
      <c r="V14" s="4" t="str">
        <f xml:space="preserve"> IF(U14="", "", U14&amp;"FI" &amp; COUNTIF($U$3:U14, U14))</f>
        <v/>
      </c>
      <c r="W14" s="4"/>
    </row>
    <row r="15" spans="1:23">
      <c r="B15" s="3"/>
      <c r="C15" s="3"/>
      <c r="D15" s="3"/>
      <c r="E15" s="4"/>
      <c r="F15" s="5" t="str">
        <f xml:space="preserve"> IF(E15="", "", E15&amp;"CI" &amp; COUNTIF($E$3:E15, E15))</f>
        <v/>
      </c>
      <c r="G15" s="4"/>
      <c r="H15" s="3"/>
      <c r="I15" s="4"/>
      <c r="J15" s="4" t="str">
        <f xml:space="preserve"> IF(I15="", "", I15&amp;"EI" &amp; COUNTIF($I$3:I15, I15))</f>
        <v/>
      </c>
      <c r="K15" s="4"/>
      <c r="N15" s="3"/>
      <c r="O15" s="3"/>
      <c r="P15" s="3"/>
      <c r="Q15" s="4"/>
      <c r="R15" s="5" t="str">
        <f xml:space="preserve"> IF(Q15="", "", Q15&amp;"MI" &amp; COUNTIF($Q$3:Q15, Q15))</f>
        <v/>
      </c>
      <c r="S15" s="4"/>
      <c r="T15" s="3"/>
      <c r="U15" s="4"/>
      <c r="V15" s="4" t="str">
        <f xml:space="preserve"> IF(U15="", "", U15&amp;"FI" &amp; COUNTIF($U$3:U15, U15))</f>
        <v/>
      </c>
      <c r="W15" s="4"/>
    </row>
    <row r="16" spans="1:23">
      <c r="B16" s="3"/>
      <c r="C16" s="3"/>
      <c r="D16" s="3"/>
      <c r="E16" s="4"/>
      <c r="F16" s="5" t="str">
        <f xml:space="preserve"> IF(E16="", "", E16&amp;"CI" &amp; COUNTIF($E$3:E16, E16))</f>
        <v/>
      </c>
      <c r="G16" s="4"/>
      <c r="H16" s="3"/>
      <c r="I16" s="4"/>
      <c r="J16" s="4" t="str">
        <f xml:space="preserve"> IF(I16="", "", I16&amp;"EI" &amp; COUNTIF($I$3:I16, I16))</f>
        <v/>
      </c>
      <c r="K16" s="4"/>
      <c r="N16" s="3"/>
      <c r="O16" s="3"/>
      <c r="P16" s="3"/>
      <c r="Q16" s="4"/>
      <c r="R16" s="5" t="str">
        <f xml:space="preserve"> IF(Q16="", "", Q16&amp;"MI" &amp; COUNTIF($Q$3:Q16, Q16))</f>
        <v/>
      </c>
      <c r="S16" s="4"/>
      <c r="T16" s="3"/>
      <c r="U16" s="4"/>
      <c r="V16" s="4" t="str">
        <f xml:space="preserve"> IF(U16="", "", U16&amp;"FI" &amp; COUNTIF($U$3:U16, U16))</f>
        <v/>
      </c>
      <c r="W16" s="4"/>
    </row>
    <row r="17" spans="2:23">
      <c r="B17" s="3"/>
      <c r="C17" s="3"/>
      <c r="D17" s="3"/>
      <c r="E17" s="4"/>
      <c r="F17" s="5" t="str">
        <f xml:space="preserve"> IF(E17="", "", E17&amp;"CI" &amp; COUNTIF($E$3:E17, E17))</f>
        <v/>
      </c>
      <c r="G17" s="4"/>
      <c r="H17" s="3"/>
      <c r="I17" s="4"/>
      <c r="J17" s="4" t="str">
        <f xml:space="preserve"> IF(I17="", "", I17&amp;"EI" &amp; COUNTIF($I$3:I17, I17))</f>
        <v/>
      </c>
      <c r="K17" s="4"/>
      <c r="N17" s="3"/>
      <c r="O17" s="3"/>
      <c r="P17" s="3"/>
      <c r="Q17" s="4"/>
      <c r="R17" s="5" t="str">
        <f xml:space="preserve"> IF(Q17="", "", Q17&amp;"MI" &amp; COUNTIF($Q$3:Q17, Q17))</f>
        <v/>
      </c>
      <c r="S17" s="4"/>
      <c r="T17" s="3"/>
      <c r="U17" s="4"/>
      <c r="V17" s="4" t="str">
        <f xml:space="preserve"> IF(U17="", "", U17&amp;"FI" &amp; COUNTIF($U$3:U17, U17))</f>
        <v/>
      </c>
      <c r="W17" s="4"/>
    </row>
    <row r="18" spans="2:23">
      <c r="B18" s="3"/>
      <c r="C18" s="3"/>
      <c r="D18" s="3"/>
      <c r="E18" s="4"/>
      <c r="F18" s="5" t="str">
        <f xml:space="preserve"> IF(E18="", "", E18&amp;"CI" &amp; COUNTIF($E$3:E18, E18))</f>
        <v/>
      </c>
      <c r="G18" s="4"/>
      <c r="H18" s="3"/>
      <c r="I18" s="4"/>
      <c r="J18" s="4" t="str">
        <f xml:space="preserve"> IF(I18="", "", I18&amp;"EI" &amp; COUNTIF($I$3:I18, I18))</f>
        <v/>
      </c>
      <c r="K18" s="4"/>
      <c r="N18" s="3"/>
      <c r="O18" s="3"/>
      <c r="P18" s="3"/>
      <c r="Q18" s="4"/>
      <c r="R18" s="5" t="str">
        <f xml:space="preserve"> IF(Q18="", "", Q18&amp;"MI" &amp; COUNTIF($Q$3:Q18, Q18))</f>
        <v/>
      </c>
      <c r="S18" s="4"/>
      <c r="T18" s="3"/>
      <c r="U18" s="4"/>
      <c r="V18" s="4" t="str">
        <f xml:space="preserve"> IF(U18="", "", U18&amp;"FI" &amp; COUNTIF($U$3:U18, U18))</f>
        <v/>
      </c>
      <c r="W18" s="4"/>
    </row>
    <row r="19" spans="2:23">
      <c r="B19" s="3"/>
      <c r="C19" s="3"/>
      <c r="D19" s="3"/>
      <c r="E19" s="4"/>
      <c r="F19" s="5" t="str">
        <f xml:space="preserve"> IF(E19="", "", E19&amp;"CI" &amp; COUNTIF($E$3:E19, E19))</f>
        <v/>
      </c>
      <c r="G19" s="4"/>
      <c r="H19" s="3"/>
      <c r="I19" s="4"/>
      <c r="J19" s="4" t="str">
        <f xml:space="preserve"> IF(I19="", "", I19&amp;"EI" &amp; COUNTIF($I$3:I19, I19))</f>
        <v/>
      </c>
      <c r="K19" s="4"/>
      <c r="N19" s="3"/>
      <c r="O19" s="3"/>
      <c r="P19" s="3"/>
      <c r="Q19" s="4"/>
      <c r="R19" s="5" t="str">
        <f xml:space="preserve"> IF(Q19="", "", Q19&amp;"MI" &amp; COUNTIF($Q$3:Q19, Q19))</f>
        <v/>
      </c>
      <c r="S19" s="4"/>
      <c r="T19" s="3"/>
      <c r="U19" s="4"/>
      <c r="V19" s="4" t="str">
        <f xml:space="preserve"> IF(U19="", "", U19&amp;"FI" &amp; COUNTIF($U$3:U19, U19))</f>
        <v/>
      </c>
      <c r="W19" s="4"/>
    </row>
    <row r="20" spans="2:23">
      <c r="B20" s="3"/>
      <c r="C20" s="3"/>
      <c r="D20" s="3"/>
      <c r="E20" s="4"/>
      <c r="F20" s="5" t="str">
        <f xml:space="preserve"> IF(E20="", "", E20&amp;"CI" &amp; COUNTIF($E$3:E20, E20))</f>
        <v/>
      </c>
      <c r="G20" s="4"/>
      <c r="H20" s="3"/>
      <c r="I20" s="4"/>
      <c r="J20" s="4" t="str">
        <f xml:space="preserve"> IF(I20="", "", I20&amp;"EI" &amp; COUNTIF($I$3:I20, I20))</f>
        <v/>
      </c>
      <c r="K20" s="4"/>
      <c r="N20" s="3"/>
      <c r="O20" s="3"/>
      <c r="P20" s="3"/>
      <c r="Q20" s="4"/>
      <c r="R20" s="5" t="str">
        <f xml:space="preserve"> IF(Q20="", "", Q20&amp;"MI" &amp; COUNTIF($Q$3:Q20, Q20))</f>
        <v/>
      </c>
      <c r="S20" s="4"/>
      <c r="T20" s="3"/>
      <c r="U20" s="4"/>
      <c r="V20" s="4" t="str">
        <f xml:space="preserve"> IF(U20="", "", U20&amp;"FI" &amp; COUNTIF($U$3:U20, U20))</f>
        <v/>
      </c>
      <c r="W20" s="4"/>
    </row>
    <row r="21" spans="2:23">
      <c r="B21" s="3"/>
      <c r="C21" s="3"/>
      <c r="D21" s="3"/>
      <c r="E21" s="4"/>
      <c r="F21" s="5" t="str">
        <f xml:space="preserve"> IF(E21="", "", E21&amp;"CI" &amp; COUNTIF($E$3:E21, E21))</f>
        <v/>
      </c>
      <c r="G21" s="4"/>
      <c r="H21" s="3"/>
      <c r="I21" s="4" t="s">
        <v>61</v>
      </c>
      <c r="J21" s="4" t="str">
        <f xml:space="preserve"> IF(I21="", "", I21&amp;"EI" &amp; COUNTIF($I$3:I21, I21))</f>
        <v/>
      </c>
      <c r="K21" s="4"/>
      <c r="N21" s="3"/>
      <c r="O21" s="3"/>
      <c r="P21" s="3"/>
      <c r="Q21" s="4"/>
      <c r="R21" s="5" t="str">
        <f xml:space="preserve"> IF(Q21="", "", Q21&amp;"MI" &amp; COUNTIF($Q$3:Q21, Q21))</f>
        <v/>
      </c>
      <c r="S21" s="4"/>
      <c r="T21" s="3"/>
      <c r="U21" s="4"/>
      <c r="V21" s="4" t="str">
        <f xml:space="preserve"> IF(U21="", "", U21&amp;"FI" &amp; COUNTIF($U$3:U21, U21))</f>
        <v/>
      </c>
      <c r="W21" s="4"/>
    </row>
    <row r="22" spans="2:23">
      <c r="B22" s="3"/>
      <c r="C22" s="3"/>
      <c r="D22" s="3"/>
      <c r="E22" s="4"/>
      <c r="F22" s="5" t="str">
        <f xml:space="preserve"> IF(E22="", "", E22&amp;"CI" &amp; COUNTIF($E$3:E22, E22))</f>
        <v/>
      </c>
      <c r="G22" s="4"/>
      <c r="H22" s="3"/>
      <c r="I22" s="4" t="s">
        <v>61</v>
      </c>
      <c r="J22" s="4" t="str">
        <f xml:space="preserve"> IF(I22="", "", I22&amp;"EI" &amp; COUNTIF($I$3:I22, I22))</f>
        <v/>
      </c>
      <c r="K22" s="4"/>
      <c r="N22" s="3"/>
      <c r="O22" s="3"/>
      <c r="P22" s="3"/>
      <c r="Q22" s="4"/>
      <c r="R22" s="5" t="str">
        <f xml:space="preserve"> IF(Q22="", "", Q22&amp;"MI" &amp; COUNTIF($Q$3:Q22, Q22))</f>
        <v/>
      </c>
      <c r="S22" s="4"/>
      <c r="T22" s="3"/>
      <c r="U22" s="4"/>
      <c r="V22" s="4" t="str">
        <f xml:space="preserve"> IF(U22="", "", U22&amp;"FI" &amp; COUNTIF($U$3:U22, U22))</f>
        <v/>
      </c>
      <c r="W22" s="4"/>
    </row>
    <row r="23" spans="2:23">
      <c r="B23" s="3"/>
      <c r="C23" s="3"/>
      <c r="D23" s="3"/>
      <c r="E23" s="4"/>
      <c r="F23" s="5" t="str">
        <f xml:space="preserve"> IF(E23="", "", E23&amp;"CI" &amp; COUNTIF($E$3:E23, E23))</f>
        <v/>
      </c>
      <c r="G23" s="4"/>
      <c r="H23" s="3"/>
      <c r="I23" s="4" t="s">
        <v>61</v>
      </c>
      <c r="J23" s="4" t="str">
        <f xml:space="preserve"> IF(I23="", "", I23&amp;"EI" &amp; COUNTIF($I$3:I23, I23))</f>
        <v/>
      </c>
      <c r="K23" s="4"/>
      <c r="N23" s="3"/>
      <c r="O23" s="3"/>
      <c r="P23" s="3"/>
      <c r="Q23" s="4"/>
      <c r="R23" s="5" t="str">
        <f xml:space="preserve"> IF(Q23="", "", Q23&amp;"MI" &amp; COUNTIF($Q$3:Q23, Q23))</f>
        <v/>
      </c>
      <c r="S23" s="4"/>
      <c r="T23" s="3"/>
      <c r="U23" s="4"/>
      <c r="V23" s="4"/>
      <c r="W23" s="4"/>
    </row>
    <row r="24" spans="2:23">
      <c r="E24" s="4"/>
      <c r="F24" s="5" t="str">
        <f xml:space="preserve"> IF(E24="", "", E24&amp;"CI" &amp; COUNTIF($E$3:E24, E24))</f>
        <v/>
      </c>
      <c r="G24" s="1"/>
      <c r="I24" s="4" t="s">
        <v>61</v>
      </c>
      <c r="J24" s="4" t="str">
        <f xml:space="preserve"> IF(I24="", "", I24&amp;"EI" &amp; COUNTIF($I$3:I24, I24))</f>
        <v/>
      </c>
      <c r="K24" s="1"/>
      <c r="N24" s="6"/>
      <c r="O24" s="6"/>
      <c r="P24" s="6"/>
      <c r="Q24" s="4"/>
      <c r="R24" s="5" t="str">
        <f xml:space="preserve"> IF(Q24="", "", Q24&amp;"MI" &amp; COUNTIF($Q$3:Q24, Q24))</f>
        <v/>
      </c>
      <c r="S24" s="7"/>
      <c r="T24" s="6"/>
      <c r="U24" s="4"/>
      <c r="V24" s="4"/>
      <c r="W24" s="1"/>
    </row>
    <row r="25" spans="2:23">
      <c r="E25" s="4"/>
      <c r="F25" s="5" t="str">
        <f xml:space="preserve"> IF(E25="", "", E25&amp;"CI" &amp; COUNTIF($E$3:E25, E25))</f>
        <v/>
      </c>
      <c r="G25" s="1"/>
      <c r="I25" s="4" t="s">
        <v>61</v>
      </c>
      <c r="J25" s="4" t="str">
        <f xml:space="preserve"> IF(I25="", "", I25&amp;"EI" &amp; COUNTIF($I$3:I25, I25))</f>
        <v/>
      </c>
      <c r="K25" s="1"/>
      <c r="N25" s="6"/>
      <c r="O25" s="6"/>
      <c r="P25" s="6"/>
      <c r="Q25" s="4"/>
      <c r="R25" s="5" t="str">
        <f xml:space="preserve"> IF(Q25="", "", Q25&amp;"MI" &amp; COUNTIF($Q$3:Q25, Q25))</f>
        <v/>
      </c>
      <c r="S25" s="7"/>
      <c r="T25" s="6"/>
      <c r="U25" s="4"/>
      <c r="V25" s="4"/>
      <c r="W25" s="1"/>
    </row>
    <row r="26" spans="2:23">
      <c r="E26" s="4"/>
      <c r="F26" s="5" t="str">
        <f xml:space="preserve"> IF(E26="", "", E26&amp;"CI" &amp; COUNTIF($E$3:E26, E26))</f>
        <v/>
      </c>
      <c r="G26" s="1"/>
      <c r="I26" s="4" t="s">
        <v>61</v>
      </c>
      <c r="J26" s="4" t="str">
        <f xml:space="preserve"> IF(I26="", "", I26&amp;"EI" &amp; COUNTIF($I$3:I26, I26))</f>
        <v/>
      </c>
      <c r="K26" s="1"/>
      <c r="N26" s="6"/>
      <c r="O26" s="6"/>
      <c r="P26" s="6"/>
      <c r="Q26" s="4"/>
      <c r="R26" s="5" t="str">
        <f xml:space="preserve"> IF(Q26="", "", Q26&amp;"MI" &amp; COUNTIF($F$3:Q26, Q26))</f>
        <v/>
      </c>
      <c r="S26" s="7"/>
      <c r="T26" s="6"/>
      <c r="U26" s="4"/>
      <c r="V26" s="4"/>
      <c r="W26" s="1"/>
    </row>
    <row r="27" spans="2:23">
      <c r="E27" s="4"/>
      <c r="F27" s="5" t="str">
        <f xml:space="preserve"> IF(E27="", "", E27&amp;"CI" &amp; COUNTIF($E$3:E27, E27))</f>
        <v/>
      </c>
      <c r="G27" s="1"/>
      <c r="I27" s="4" t="s">
        <v>61</v>
      </c>
      <c r="J27" s="4" t="str">
        <f xml:space="preserve"> IF(I27="", "", I27&amp;"EI" &amp; COUNTIF($I$3:I27, I27))</f>
        <v/>
      </c>
      <c r="K27" s="1"/>
      <c r="N27" s="6"/>
      <c r="O27" s="6"/>
      <c r="P27" s="6"/>
      <c r="Q27" s="4"/>
      <c r="R27" s="5" t="str">
        <f xml:space="preserve"> IF(Q27="", "", Q27&amp;"MI" &amp; COUNTIF($F$3:Q27, Q27))</f>
        <v/>
      </c>
      <c r="S27" s="7"/>
      <c r="T27" s="6"/>
      <c r="U27" s="4"/>
      <c r="V27" s="4"/>
      <c r="W27" s="1"/>
    </row>
    <row r="28" spans="2:23">
      <c r="E28" s="4"/>
      <c r="F28" s="5" t="str">
        <f xml:space="preserve"> IF(E28="", "", E28&amp;"CI" &amp; COUNTIF($E$3:E28, E28))</f>
        <v/>
      </c>
      <c r="G28" s="1"/>
      <c r="I28" s="4" t="s">
        <v>61</v>
      </c>
      <c r="J28" s="4" t="str">
        <f xml:space="preserve"> IF(I28="", "", I28&amp;"EI" &amp; COUNTIF($I$3:I28, I28))</f>
        <v/>
      </c>
      <c r="K28" s="1"/>
      <c r="N28" s="6"/>
      <c r="O28" s="6"/>
      <c r="P28" s="6"/>
      <c r="Q28" s="4"/>
      <c r="R28" s="5" t="str">
        <f xml:space="preserve"> IF(Q28="", "", Q28&amp;"MI" &amp; COUNTIF($F$3:Q28, Q28))</f>
        <v/>
      </c>
      <c r="S28" s="7"/>
      <c r="T28" s="6"/>
      <c r="U28" s="4"/>
      <c r="V28" s="4"/>
      <c r="W28" s="1"/>
    </row>
    <row r="29" spans="2:23">
      <c r="E29" s="4"/>
      <c r="F29" s="5" t="str">
        <f xml:space="preserve"> IF(E29="", "", E29&amp;"CI" &amp; COUNTIF($E$3:E29, E29))</f>
        <v/>
      </c>
      <c r="G29" s="1"/>
      <c r="I29" s="4" t="s">
        <v>61</v>
      </c>
      <c r="J29" s="4" t="str">
        <f xml:space="preserve"> IF(I29="", "", I29&amp;"EI" &amp; COUNTIF($I$3:I29, I29))</f>
        <v/>
      </c>
      <c r="K29" s="1"/>
      <c r="N29" s="6"/>
      <c r="O29" s="6"/>
      <c r="P29" s="6"/>
      <c r="Q29" s="4"/>
      <c r="R29" s="5" t="str">
        <f xml:space="preserve"> IF(Q29="", "", Q29&amp;"MI" &amp; COUNTIF($F$3:Q29, Q29))</f>
        <v/>
      </c>
      <c r="S29" s="7"/>
      <c r="T29" s="6"/>
      <c r="U29" s="4"/>
      <c r="V29" s="4"/>
      <c r="W29" s="1"/>
    </row>
    <row r="30" spans="2:23">
      <c r="E30" s="4"/>
      <c r="F30" s="5" t="str">
        <f xml:space="preserve"> IF(E30="", "", E30&amp;"CI" &amp; COUNTIF($E$3:E30, E30))</f>
        <v/>
      </c>
      <c r="G30" s="1"/>
      <c r="I30" s="4" t="s">
        <v>61</v>
      </c>
      <c r="J30" s="4" t="str">
        <f xml:space="preserve"> IF(I30="", "", I30&amp;"EI" &amp; COUNTIF($I$3:I30, I30))</f>
        <v/>
      </c>
      <c r="K30" s="1"/>
      <c r="N30" s="6"/>
      <c r="O30" s="6"/>
      <c r="P30" s="6"/>
      <c r="Q30" s="4"/>
      <c r="R30" s="5" t="str">
        <f xml:space="preserve"> IF(Q30="", "", Q30&amp;"MI" &amp; COUNTIF($F$3:Q30, Q30))</f>
        <v/>
      </c>
      <c r="S30" s="7"/>
      <c r="T30" s="6"/>
      <c r="U30" s="4"/>
      <c r="V30" s="4"/>
      <c r="W30" s="1"/>
    </row>
    <row r="31" spans="2:23">
      <c r="E31" s="4"/>
      <c r="F31" s="5" t="str">
        <f xml:space="preserve"> IF(E31="", "", E31&amp;"CI" &amp; COUNTIF($E$3:E31, E31))</f>
        <v/>
      </c>
      <c r="G31" s="1"/>
      <c r="I31" s="4" t="s">
        <v>61</v>
      </c>
      <c r="J31" s="4" t="str">
        <f xml:space="preserve"> IF(I31="", "", I31&amp;"EI" &amp; COUNTIF($I$3:I31, I31))</f>
        <v/>
      </c>
      <c r="K31" s="1"/>
      <c r="N31" s="6"/>
      <c r="O31" s="6"/>
      <c r="P31" s="6"/>
      <c r="Q31" s="4"/>
      <c r="R31" s="5" t="str">
        <f xml:space="preserve"> IF(Q31="", "", Q31&amp;"MI" &amp; COUNTIF($F$3:Q31, Q31))</f>
        <v/>
      </c>
      <c r="S31" s="7"/>
      <c r="T31" s="6"/>
      <c r="U31" s="4"/>
      <c r="V31" s="4"/>
      <c r="W31" s="1"/>
    </row>
    <row r="32" spans="2:23">
      <c r="E32" s="4"/>
      <c r="F32" s="5" t="str">
        <f xml:space="preserve"> IF(E32="", "", E32&amp;"CI" &amp; COUNTIF($E$3:E32, E32))</f>
        <v/>
      </c>
      <c r="G32" s="1"/>
      <c r="I32" s="4" t="s">
        <v>61</v>
      </c>
      <c r="J32" s="4" t="str">
        <f xml:space="preserve"> IF(I32="", "", I32&amp;"EI" &amp; COUNTIF($I$3:I32, I32))</f>
        <v/>
      </c>
      <c r="K32" s="1"/>
      <c r="N32" s="6"/>
      <c r="O32" s="6"/>
      <c r="P32" s="6"/>
      <c r="Q32" s="4"/>
      <c r="R32" s="5" t="str">
        <f xml:space="preserve"> IF(Q32="", "", Q32&amp;"MI" &amp; COUNTIF($F$3:Q32, Q32))</f>
        <v/>
      </c>
      <c r="S32" s="7"/>
      <c r="T32" s="6"/>
      <c r="U32" s="4"/>
      <c r="V32" s="4"/>
      <c r="W32" s="1"/>
    </row>
    <row r="33" spans="5:23">
      <c r="E33" s="4"/>
      <c r="F33" s="5" t="str">
        <f xml:space="preserve"> IF(E33="", "", E33&amp;"CI" &amp; COUNTIF($E$3:E33, E33))</f>
        <v/>
      </c>
      <c r="G33" s="1"/>
      <c r="I33" s="4" t="s">
        <v>61</v>
      </c>
      <c r="J33" s="4" t="str">
        <f xml:space="preserve"> IF(I33="", "", I33&amp;"EI" &amp; COUNTIF($I$3:I33, I33))</f>
        <v/>
      </c>
      <c r="K33" s="1"/>
      <c r="N33" s="6"/>
      <c r="O33" s="6"/>
      <c r="P33" s="6"/>
      <c r="Q33" s="4"/>
      <c r="R33" s="5" t="str">
        <f xml:space="preserve"> IF(Q33="", "", Q33&amp;"MI" &amp; COUNTIF($F$3:Q33, Q33))</f>
        <v/>
      </c>
      <c r="S33" s="7"/>
      <c r="T33" s="6"/>
      <c r="U33" s="4"/>
      <c r="V33" s="4"/>
      <c r="W33" s="1"/>
    </row>
    <row r="34" spans="5:23">
      <c r="E34" s="4"/>
      <c r="F34" s="5" t="str">
        <f xml:space="preserve"> IF(E34="", "", E34&amp;"CI" &amp; COUNTIF($E$3:E34, E34))</f>
        <v/>
      </c>
      <c r="G34" s="1"/>
      <c r="I34" s="4" t="s">
        <v>61</v>
      </c>
      <c r="J34" s="4" t="str">
        <f xml:space="preserve"> IF(I34="", "", I34&amp;"EI" &amp; COUNTIF($I$3:I34, I34))</f>
        <v/>
      </c>
      <c r="K34" s="1"/>
      <c r="N34" s="6"/>
      <c r="O34" s="6"/>
      <c r="P34" s="6"/>
      <c r="Q34" s="4"/>
      <c r="R34" s="5" t="str">
        <f xml:space="preserve"> IF(Q34="", "", Q34&amp;"MI" &amp; COUNTIF($F$3:Q34, Q34))</f>
        <v/>
      </c>
      <c r="S34" s="7"/>
      <c r="T34" s="6"/>
      <c r="U34" s="4"/>
      <c r="V34" s="4"/>
      <c r="W34" s="1"/>
    </row>
    <row r="35" spans="5:23">
      <c r="E35" s="4"/>
      <c r="F35" s="5" t="str">
        <f xml:space="preserve"> IF(E35="", "", E35&amp;"CI" &amp; COUNTIF($E$3:E35, E35))</f>
        <v/>
      </c>
      <c r="G35" s="1"/>
      <c r="I35" s="4" t="s">
        <v>61</v>
      </c>
      <c r="J35" s="4" t="str">
        <f xml:space="preserve"> IF(I35="", "", I35&amp;"EI" &amp; COUNTIF($I$3:I35, I35))</f>
        <v/>
      </c>
      <c r="K35" s="1"/>
      <c r="N35" s="6"/>
      <c r="O35" s="6"/>
      <c r="P35" s="6"/>
      <c r="Q35" s="4"/>
      <c r="R35" s="5" t="str">
        <f xml:space="preserve"> IF(Q35="", "", Q35&amp;"MI" &amp; COUNTIF($F$3:Q35, Q35))</f>
        <v/>
      </c>
      <c r="S35" s="7"/>
      <c r="T35" s="6"/>
      <c r="U35" s="4"/>
      <c r="V35" s="4"/>
      <c r="W35" s="1"/>
    </row>
    <row r="36" spans="5:23">
      <c r="E36" s="4"/>
      <c r="F36" s="5" t="str">
        <f xml:space="preserve"> IF(E36="", "", E36&amp;"CI" &amp; COUNTIF($E$3:E36, E36))</f>
        <v/>
      </c>
      <c r="G36" s="1"/>
      <c r="I36" s="4" t="s">
        <v>61</v>
      </c>
      <c r="J36" s="4" t="str">
        <f xml:space="preserve"> IF(I36="", "", I36&amp;"EI" &amp; COUNTIF($I$3:I36, I36))</f>
        <v/>
      </c>
      <c r="K36" s="1"/>
      <c r="N36" s="6"/>
      <c r="O36" s="6"/>
      <c r="P36" s="6"/>
      <c r="Q36" s="4"/>
      <c r="R36" s="5" t="str">
        <f xml:space="preserve"> IF(Q36="", "", Q36&amp;"MI" &amp; COUNTIF($F$3:Q36, Q36))</f>
        <v/>
      </c>
      <c r="S36" s="7"/>
      <c r="T36" s="6"/>
      <c r="U36" s="4"/>
      <c r="V36" s="4"/>
      <c r="W36" s="1"/>
    </row>
    <row r="37" spans="5:23">
      <c r="E37" s="4"/>
      <c r="F37" s="5" t="str">
        <f xml:space="preserve"> IF(E37="", "", E37&amp;"CI" &amp; COUNTIF($E$3:E37, E37))</f>
        <v/>
      </c>
      <c r="G37" s="1"/>
      <c r="I37" s="4" t="s">
        <v>61</v>
      </c>
      <c r="J37" s="4" t="str">
        <f xml:space="preserve"> IF(I37="", "", I37&amp;"EI" &amp; COUNTIF($I$3:I37, I37))</f>
        <v/>
      </c>
      <c r="K37" s="1"/>
      <c r="N37" s="6"/>
      <c r="O37" s="6"/>
      <c r="P37" s="6"/>
      <c r="Q37" s="4"/>
      <c r="R37" s="5" t="str">
        <f xml:space="preserve"> IF(Q37="", "", Q37&amp;"MI" &amp; COUNTIF($F$3:Q37, Q37))</f>
        <v/>
      </c>
      <c r="S37" s="7"/>
      <c r="T37" s="6"/>
      <c r="U37" s="4"/>
      <c r="V37" s="4"/>
      <c r="W37" s="1"/>
    </row>
    <row r="38" spans="5:23">
      <c r="E38" s="4"/>
      <c r="F38" s="5" t="str">
        <f xml:space="preserve"> IF(E38="", "", E38&amp;"CI" &amp; COUNTIF($E$3:E38, E38))</f>
        <v/>
      </c>
      <c r="G38" s="1"/>
      <c r="I38" s="4" t="s">
        <v>61</v>
      </c>
      <c r="J38" s="4" t="str">
        <f xml:space="preserve"> IF(I38="", "", I38&amp;"EI" &amp; COUNTIF($I$3:I38, I38))</f>
        <v/>
      </c>
      <c r="K38" s="1"/>
      <c r="N38" s="6"/>
      <c r="O38" s="6"/>
      <c r="P38" s="6"/>
      <c r="Q38" s="4"/>
      <c r="R38" s="5" t="str">
        <f xml:space="preserve"> IF(Q38="", "", Q38&amp;"MI" &amp; COUNTIF($F$3:Q38, Q38))</f>
        <v/>
      </c>
      <c r="S38" s="7"/>
      <c r="T38" s="6"/>
      <c r="U38" s="4"/>
      <c r="V38" s="4"/>
      <c r="W38" s="1"/>
    </row>
    <row r="39" spans="5:23">
      <c r="E39" s="4"/>
      <c r="F39" s="5" t="str">
        <f xml:space="preserve"> IF(E39="", "", E39&amp;"CI" &amp; COUNTIF($E$3:E39, E39))</f>
        <v/>
      </c>
      <c r="G39" s="1"/>
      <c r="I39" s="4" t="s">
        <v>61</v>
      </c>
      <c r="J39" s="4" t="str">
        <f xml:space="preserve"> IF(I39="", "", I39&amp;"EI" &amp; COUNTIF($I$3:I39, I39))</f>
        <v/>
      </c>
      <c r="K39" s="1"/>
      <c r="N39" s="6"/>
      <c r="O39" s="6"/>
      <c r="P39" s="6"/>
      <c r="Q39" s="4"/>
      <c r="R39" s="5" t="str">
        <f xml:space="preserve"> IF(Q39="", "", Q39&amp;"MI" &amp; COUNTIF($F$3:Q39, Q39))</f>
        <v/>
      </c>
      <c r="S39" s="7"/>
      <c r="T39" s="6"/>
      <c r="U39" s="4"/>
      <c r="V39" s="4"/>
      <c r="W39" s="1"/>
    </row>
    <row r="40" spans="5:23">
      <c r="E40" s="4"/>
      <c r="F40" s="5" t="str">
        <f xml:space="preserve"> IF(E40="", "", E40&amp;"CI" &amp; COUNTIF($E$3:E40, E40))</f>
        <v/>
      </c>
      <c r="G40" s="1"/>
      <c r="I40" s="4" t="s">
        <v>61</v>
      </c>
      <c r="J40" s="4" t="str">
        <f xml:space="preserve"> IF(I40="", "", I40&amp;"EI" &amp; COUNTIF($I$3:I40, I40))</f>
        <v/>
      </c>
      <c r="K40" s="1"/>
      <c r="N40" s="6"/>
      <c r="O40" s="6"/>
      <c r="P40" s="6"/>
      <c r="Q40" s="4"/>
      <c r="R40" s="5" t="str">
        <f xml:space="preserve"> IF(Q40="", "", Q40&amp;"MI" &amp; COUNTIF($F$3:Q40, Q40))</f>
        <v/>
      </c>
      <c r="S40" s="7"/>
      <c r="T40" s="6"/>
      <c r="U40" s="4"/>
      <c r="V40" s="4"/>
      <c r="W40" s="1"/>
    </row>
    <row r="41" spans="5:23">
      <c r="E41" s="4"/>
      <c r="F41" s="5" t="str">
        <f xml:space="preserve"> IF(E41="", "", E41&amp;"CI" &amp; COUNTIF($E$3:E41, E41))</f>
        <v/>
      </c>
      <c r="G41" s="1"/>
      <c r="I41" s="4" t="s">
        <v>61</v>
      </c>
      <c r="J41" s="4" t="str">
        <f xml:space="preserve"> IF(I41="", "", I41&amp;"EI" &amp; COUNTIF($I$3:I41, I41))</f>
        <v/>
      </c>
      <c r="K41" s="1"/>
      <c r="N41" s="6"/>
      <c r="O41" s="6"/>
      <c r="P41" s="6"/>
      <c r="Q41" s="4"/>
      <c r="R41" s="5" t="str">
        <f xml:space="preserve"> IF(Q41="", "", Q41&amp;"MI" &amp; COUNTIF($F$3:Q41, Q41))</f>
        <v/>
      </c>
      <c r="S41" s="7"/>
      <c r="T41" s="6"/>
      <c r="U41" s="4"/>
      <c r="V41" s="4"/>
      <c r="W41" s="1"/>
    </row>
    <row r="42" spans="5:23">
      <c r="E42" s="4"/>
      <c r="F42" s="5" t="str">
        <f xml:space="preserve"> IF(E42="", "", E42&amp;"CI" &amp; COUNTIF($E$3:E42, E42))</f>
        <v/>
      </c>
      <c r="G42" s="1"/>
      <c r="I42" s="4" t="s">
        <v>61</v>
      </c>
      <c r="J42" s="4" t="str">
        <f xml:space="preserve"> IF(I42="", "", I42&amp;"EI" &amp; COUNTIF($I$3:I42, I42))</f>
        <v/>
      </c>
      <c r="K42" s="1"/>
      <c r="N42" s="6"/>
      <c r="O42" s="6"/>
      <c r="P42" s="6"/>
      <c r="Q42" s="4"/>
      <c r="R42" s="5" t="str">
        <f xml:space="preserve"> IF(Q42="", "", Q42&amp;"MI" &amp; COUNTIF($F$3:Q42, Q42))</f>
        <v/>
      </c>
      <c r="S42" s="7"/>
      <c r="T42" s="6"/>
      <c r="U42" s="4"/>
      <c r="V42" s="4"/>
      <c r="W42" s="1"/>
    </row>
    <row r="43" spans="5:23">
      <c r="E43" s="4"/>
      <c r="F43" s="5" t="str">
        <f xml:space="preserve"> IF(E43="", "", E43&amp;"CI" &amp; COUNTIF($E$3:E43, E43))</f>
        <v/>
      </c>
      <c r="G43" s="1"/>
      <c r="I43" s="4" t="s">
        <v>61</v>
      </c>
      <c r="J43" s="4" t="str">
        <f xml:space="preserve"> IF(I43="", "", I43&amp;"EI" &amp; COUNTIF($I$3:I43, I43))</f>
        <v/>
      </c>
      <c r="K43" s="1"/>
      <c r="N43" s="6"/>
      <c r="O43" s="6"/>
      <c r="P43" s="6"/>
      <c r="Q43" s="4"/>
      <c r="R43" s="5" t="str">
        <f xml:space="preserve"> IF(Q43="", "", Q43&amp;"MI" &amp; COUNTIF($F$3:Q43, Q43))</f>
        <v/>
      </c>
      <c r="S43" s="7"/>
      <c r="T43" s="6"/>
      <c r="U43" s="4"/>
      <c r="V43" s="4"/>
      <c r="W43" s="1"/>
    </row>
    <row r="44" spans="5:23">
      <c r="E44" s="4"/>
      <c r="F44" s="5" t="str">
        <f xml:space="preserve"> IF(E44="", "", E44&amp;"CI" &amp; COUNTIF($E$3:E44, E44))</f>
        <v/>
      </c>
      <c r="G44" s="1"/>
      <c r="I44" s="4" t="s">
        <v>61</v>
      </c>
      <c r="J44" s="4" t="str">
        <f xml:space="preserve"> IF(I44="", "", I44&amp;"EI" &amp; COUNTIF($I$3:I44, I44))</f>
        <v/>
      </c>
      <c r="K44" s="1"/>
      <c r="N44" s="6"/>
      <c r="O44" s="6"/>
      <c r="P44" s="6"/>
      <c r="Q44" s="4"/>
      <c r="R44" s="5" t="str">
        <f xml:space="preserve"> IF(Q44="", "", Q44&amp;"MI" &amp; COUNTIF($F$3:Q44, Q44))</f>
        <v/>
      </c>
      <c r="S44" s="7"/>
      <c r="T44" s="6"/>
      <c r="U44" s="4"/>
      <c r="V44" s="4"/>
      <c r="W44" s="1"/>
    </row>
    <row r="45" spans="5:23">
      <c r="E45" s="4"/>
      <c r="F45" s="5" t="str">
        <f xml:space="preserve"> IF(E45="", "", E45&amp;"CI" &amp; COUNTIF($E$3:E45, E45))</f>
        <v/>
      </c>
      <c r="G45" s="1"/>
      <c r="I45" s="4" t="s">
        <v>61</v>
      </c>
      <c r="J45" s="4" t="str">
        <f xml:space="preserve"> IF(I45="", "", I45&amp;"EI" &amp; COUNTIF($I$3:I45, I45))</f>
        <v/>
      </c>
      <c r="K45" s="1"/>
      <c r="N45" s="6"/>
      <c r="O45" s="6"/>
      <c r="P45" s="6"/>
      <c r="Q45" s="4"/>
      <c r="R45" s="5" t="str">
        <f xml:space="preserve"> IF(Q45="", "", Q45&amp;"MI" &amp; COUNTIF($F$3:Q45, Q45))</f>
        <v/>
      </c>
      <c r="S45" s="7"/>
      <c r="T45" s="6"/>
      <c r="U45" s="4"/>
      <c r="V45" s="4"/>
      <c r="W45" s="1"/>
    </row>
    <row r="46" spans="5:23">
      <c r="E46" s="4"/>
      <c r="F46" s="5" t="str">
        <f xml:space="preserve"> IF(E46="", "", E46&amp;"CI" &amp; COUNTIF($E$3:E46, E46))</f>
        <v/>
      </c>
      <c r="G46" s="1"/>
      <c r="I46" s="4" t="s">
        <v>61</v>
      </c>
      <c r="J46" s="4" t="str">
        <f xml:space="preserve"> IF(I46="", "", I46&amp;"EI" &amp; COUNTIF($I$3:I46, I46))</f>
        <v/>
      </c>
      <c r="K46" s="1"/>
      <c r="N46" s="6"/>
      <c r="O46" s="6"/>
      <c r="P46" s="6"/>
      <c r="Q46" s="4"/>
      <c r="R46" s="5" t="str">
        <f xml:space="preserve"> IF(Q46="", "", Q46&amp;"MI" &amp; COUNTIF($F$3:Q46, Q46))</f>
        <v/>
      </c>
      <c r="S46" s="7"/>
      <c r="T46" s="6"/>
      <c r="U46" s="4"/>
      <c r="V46" s="4"/>
      <c r="W46" s="1"/>
    </row>
    <row r="47" spans="5:23">
      <c r="E47" s="4"/>
      <c r="F47" s="5" t="str">
        <f xml:space="preserve"> IF(E47="", "", E47&amp;"CI" &amp; COUNTIF($E$3:E47, E47))</f>
        <v/>
      </c>
      <c r="G47" s="1"/>
      <c r="I47" s="4" t="s">
        <v>61</v>
      </c>
      <c r="J47" s="4" t="str">
        <f xml:space="preserve"> IF(I47="", "", I47&amp;"EI" &amp; COUNTIF($I$3:I47, I47))</f>
        <v/>
      </c>
      <c r="K47" s="1"/>
      <c r="N47" s="6"/>
      <c r="O47" s="6"/>
      <c r="P47" s="6"/>
      <c r="Q47" s="4"/>
      <c r="R47" s="5" t="str">
        <f xml:space="preserve"> IF(Q47="", "", Q47&amp;"MI" &amp; COUNTIF($F$3:Q47, Q47))</f>
        <v/>
      </c>
      <c r="S47" s="7"/>
      <c r="T47" s="6"/>
      <c r="U47" s="4" t="s">
        <v>61</v>
      </c>
      <c r="V47" s="4" t="str">
        <f xml:space="preserve"> IF(U47="", "", U47&amp;"FI" &amp; COUNTIF($U$3:U47, U47))</f>
        <v/>
      </c>
      <c r="W47" s="1"/>
    </row>
    <row r="48" spans="5:23">
      <c r="E48" s="4"/>
      <c r="F48" s="5" t="str">
        <f xml:space="preserve"> IF(E48="", "", E48&amp;"CI" &amp; COUNTIF($E$3:E48, E48))</f>
        <v/>
      </c>
      <c r="G48" s="1"/>
      <c r="I48" s="4" t="s">
        <v>61</v>
      </c>
      <c r="J48" s="4" t="str">
        <f xml:space="preserve"> IF(I48="", "", I48&amp;"EI" &amp; COUNTIF($I$3:I48, I48))</f>
        <v/>
      </c>
      <c r="K48" s="1"/>
      <c r="N48" s="6"/>
      <c r="O48" s="6"/>
      <c r="P48" s="6"/>
      <c r="Q48" s="4"/>
      <c r="R48" s="5" t="str">
        <f xml:space="preserve"> IF(Q48="", "", Q48&amp;"MI" &amp; COUNTIF($F$3:Q48, Q48))</f>
        <v/>
      </c>
      <c r="S48" s="7"/>
      <c r="T48" s="6"/>
      <c r="U48" s="4" t="s">
        <v>61</v>
      </c>
      <c r="V48" s="4" t="str">
        <f xml:space="preserve"> IF(U48="", "", U48&amp;"FI" &amp; COUNTIF($U$3:U48, U48))</f>
        <v/>
      </c>
      <c r="W48" s="1"/>
    </row>
    <row r="49" spans="5:23">
      <c r="E49" s="4"/>
      <c r="F49" s="5" t="str">
        <f xml:space="preserve"> IF(E49="", "", E49&amp;"CI" &amp; COUNTIF($E$3:E49, E49))</f>
        <v/>
      </c>
      <c r="G49" s="1"/>
      <c r="I49" s="4" t="s">
        <v>61</v>
      </c>
      <c r="J49" s="4" t="str">
        <f xml:space="preserve"> IF(I49="", "", I49&amp;"EI" &amp; COUNTIF($I$3:I49, I49))</f>
        <v/>
      </c>
      <c r="K49" s="1"/>
      <c r="N49" s="6"/>
      <c r="O49" s="6"/>
      <c r="P49" s="6"/>
      <c r="Q49" s="4"/>
      <c r="R49" s="5" t="str">
        <f xml:space="preserve"> IF(Q49="", "", Q49&amp;"MI" &amp; COUNTIF($F$3:Q49, Q49))</f>
        <v/>
      </c>
      <c r="S49" s="7"/>
      <c r="T49" s="6"/>
      <c r="U49" s="4" t="s">
        <v>61</v>
      </c>
      <c r="V49" s="4" t="str">
        <f xml:space="preserve"> IF(U49="", "", U49&amp;"FI" &amp; COUNTIF($U$3:U49, U49))</f>
        <v/>
      </c>
      <c r="W49" s="1"/>
    </row>
    <row r="50" spans="5:23">
      <c r="E50" s="4"/>
      <c r="F50" s="5" t="str">
        <f xml:space="preserve"> IF(E50="", "", E50&amp;"CI" &amp; COUNTIF($E$3:E50, E50))</f>
        <v/>
      </c>
      <c r="G50" s="1"/>
      <c r="I50" s="4" t="s">
        <v>61</v>
      </c>
      <c r="J50" s="4" t="str">
        <f xml:space="preserve"> IF(I50="", "", I50&amp;"EI" &amp; COUNTIF($I$3:I50, I50))</f>
        <v/>
      </c>
      <c r="K50" s="1"/>
      <c r="N50" s="6"/>
      <c r="O50" s="6"/>
      <c r="P50" s="6"/>
      <c r="Q50" s="4"/>
      <c r="R50" s="5" t="str">
        <f xml:space="preserve"> IF(Q50="", "", Q50&amp;"MI" &amp; COUNTIF($F$3:Q50, Q50))</f>
        <v/>
      </c>
      <c r="S50" s="7"/>
      <c r="T50" s="6"/>
      <c r="U50" s="4" t="s">
        <v>61</v>
      </c>
      <c r="V50" s="4" t="str">
        <f xml:space="preserve"> IF(U50="", "", U50&amp;"FI" &amp; COUNTIF($U$3:U50, U50))</f>
        <v/>
      </c>
      <c r="W50" s="1"/>
    </row>
    <row r="51" spans="5:23">
      <c r="E51" s="4"/>
      <c r="F51" s="5" t="str">
        <f xml:space="preserve"> IF(E51="", "", E51&amp;"CI" &amp; COUNTIF($E$3:E51, E51))</f>
        <v/>
      </c>
      <c r="G51" s="1"/>
      <c r="I51" s="4" t="s">
        <v>61</v>
      </c>
      <c r="J51" s="4" t="str">
        <f xml:space="preserve"> IF(I51="", "", I51&amp;"EI" &amp; COUNTIF($I$3:I51, I51))</f>
        <v/>
      </c>
      <c r="K51" s="1"/>
      <c r="N51" s="6"/>
      <c r="O51" s="6"/>
      <c r="P51" s="6"/>
      <c r="Q51" s="4"/>
      <c r="R51" s="5" t="str">
        <f xml:space="preserve"> IF(Q51="", "", Q51&amp;"MI" &amp; COUNTIF($F$3:Q51, Q51))</f>
        <v/>
      </c>
      <c r="S51" s="7"/>
      <c r="T51" s="6"/>
      <c r="U51" s="4" t="s">
        <v>61</v>
      </c>
      <c r="V51" s="4" t="str">
        <f xml:space="preserve"> IF(U51="", "", U51&amp;"FI" &amp; COUNTIF($U$3:U51, U51))</f>
        <v/>
      </c>
      <c r="W51" s="1"/>
    </row>
    <row r="52" spans="5:23">
      <c r="I52" s="4" t="s">
        <v>61</v>
      </c>
      <c r="J52" s="4" t="str">
        <f xml:space="preserve"> IF(I52="", "", I52&amp;"EI" &amp; COUNTIF($I$3:I52, I52))</f>
        <v/>
      </c>
      <c r="K52" s="1"/>
      <c r="N52" s="6"/>
      <c r="O52" s="6"/>
      <c r="P52" s="6"/>
      <c r="Q52" s="6"/>
      <c r="R52" s="6"/>
      <c r="S52" s="6"/>
      <c r="T52" s="6"/>
      <c r="U52" s="4" t="s">
        <v>61</v>
      </c>
      <c r="V52" s="4" t="str">
        <f xml:space="preserve"> IF(U52="", "", U52&amp;"FI" &amp; COUNTIF($U$3:U52, U52))</f>
        <v/>
      </c>
      <c r="W52" s="1"/>
    </row>
    <row r="53" spans="5:23">
      <c r="I53" s="4" t="s">
        <v>61</v>
      </c>
      <c r="J53" s="4" t="str">
        <f xml:space="preserve"> IF(I53="", "", I53&amp;"EI" &amp; COUNTIF($I$3:I53, I53))</f>
        <v/>
      </c>
      <c r="K53" s="1"/>
      <c r="N53" s="6"/>
      <c r="O53" s="6"/>
      <c r="P53" s="6"/>
      <c r="Q53" s="6"/>
      <c r="R53" s="6"/>
      <c r="S53" s="6"/>
      <c r="T53" s="6"/>
      <c r="U53" s="4" t="s">
        <v>61</v>
      </c>
      <c r="V53" s="4" t="str">
        <f xml:space="preserve"> IF(U53="", "", U53&amp;"FI" &amp; COUNTIF($U$3:U53, U53))</f>
        <v/>
      </c>
      <c r="W53" s="1"/>
    </row>
    <row r="54" spans="5:23">
      <c r="I54" s="4" t="s">
        <v>61</v>
      </c>
      <c r="J54" s="4" t="str">
        <f xml:space="preserve"> IF(I54="", "", I54&amp;"EI" &amp; COUNTIF($I$3:I54, I54))</f>
        <v/>
      </c>
      <c r="K54" s="1"/>
      <c r="N54" s="6"/>
      <c r="O54" s="6"/>
      <c r="P54" s="6"/>
      <c r="Q54" s="6"/>
      <c r="R54" s="6"/>
      <c r="S54" s="6"/>
      <c r="T54" s="6"/>
      <c r="U54" s="4" t="s">
        <v>61</v>
      </c>
      <c r="V54" s="4" t="str">
        <f xml:space="preserve"> IF(U54="", "", U54&amp;"FI" &amp; COUNTIF($U$3:U54, U54))</f>
        <v/>
      </c>
      <c r="W54" s="1"/>
    </row>
    <row r="55" spans="5:23">
      <c r="I55" s="4" t="s">
        <v>61</v>
      </c>
      <c r="J55" s="4" t="str">
        <f xml:space="preserve"> IF(I55="", "", I55&amp;"EI" &amp; COUNTIF($I$3:I55, I55))</f>
        <v/>
      </c>
      <c r="K55" s="1"/>
      <c r="N55" s="6"/>
      <c r="O55" s="6"/>
      <c r="P55" s="6"/>
      <c r="Q55" s="6"/>
      <c r="R55" s="6"/>
      <c r="S55" s="6"/>
      <c r="T55" s="6"/>
      <c r="U55" s="4" t="s">
        <v>61</v>
      </c>
      <c r="V55" s="4" t="str">
        <f xml:space="preserve"> IF(U55="", "", U55&amp;"EI" &amp; COUNTIF($J$3:U55, U55))</f>
        <v/>
      </c>
      <c r="W55" s="1"/>
    </row>
    <row r="56" spans="5:23">
      <c r="I56" s="4" t="s">
        <v>61</v>
      </c>
      <c r="J56" s="4" t="str">
        <f xml:space="preserve"> IF(I56="", "", I56&amp;"EI" &amp; COUNTIF($I$3:I56, I56))</f>
        <v/>
      </c>
      <c r="K56" s="1"/>
      <c r="N56" s="6"/>
      <c r="O56" s="6"/>
      <c r="P56" s="6"/>
      <c r="Q56" s="6"/>
      <c r="R56" s="6"/>
      <c r="S56" s="6"/>
      <c r="T56" s="6"/>
      <c r="U56" s="4" t="s">
        <v>61</v>
      </c>
      <c r="V56" s="4" t="str">
        <f xml:space="preserve"> IF(U56="", "", U56&amp;"EI" &amp; COUNTIF($J$3:U56, U56))</f>
        <v/>
      </c>
      <c r="W56" s="1"/>
    </row>
    <row r="57" spans="5:23">
      <c r="I57" s="4" t="s">
        <v>61</v>
      </c>
      <c r="J57" s="4" t="str">
        <f xml:space="preserve"> IF(I57="", "", I57&amp;"EI" &amp; COUNTIF($I$3:I57, I57))</f>
        <v/>
      </c>
      <c r="K57" s="1"/>
      <c r="N57" s="6"/>
      <c r="O57" s="6"/>
      <c r="P57" s="6"/>
      <c r="Q57" s="6"/>
      <c r="R57" s="6"/>
      <c r="S57" s="6"/>
      <c r="T57" s="6"/>
      <c r="U57" s="4" t="s">
        <v>61</v>
      </c>
      <c r="V57" s="4" t="str">
        <f xml:space="preserve"> IF(U57="", "", U57&amp;"EI" &amp; COUNTIF($J$3:U57, U57))</f>
        <v/>
      </c>
      <c r="W57" s="1"/>
    </row>
    <row r="58" spans="5:23">
      <c r="I58" s="4" t="s">
        <v>61</v>
      </c>
      <c r="J58" s="4" t="str">
        <f xml:space="preserve"> IF(I58="", "", I58&amp;"EI" &amp; COUNTIF($I$3:I58, I58))</f>
        <v/>
      </c>
      <c r="K58" s="1"/>
      <c r="N58" s="6"/>
      <c r="O58" s="6"/>
      <c r="P58" s="6"/>
      <c r="Q58" s="6"/>
      <c r="R58" s="6"/>
      <c r="S58" s="6"/>
      <c r="T58" s="6"/>
      <c r="U58" s="4" t="s">
        <v>61</v>
      </c>
      <c r="V58" s="4" t="str">
        <f xml:space="preserve"> IF(U58="", "", U58&amp;"EI" &amp; COUNTIF($J$3:U58, U58))</f>
        <v/>
      </c>
      <c r="W58" s="1"/>
    </row>
    <row r="59" spans="5:23">
      <c r="I59" s="4" t="s">
        <v>61</v>
      </c>
      <c r="J59" s="4" t="str">
        <f xml:space="preserve"> IF(I59="", "", I59&amp;"EI" &amp; COUNTIF($I$3:I59, I59))</f>
        <v/>
      </c>
      <c r="K59" s="1"/>
      <c r="N59" s="6"/>
      <c r="O59" s="6"/>
      <c r="P59" s="6"/>
      <c r="Q59" s="6"/>
      <c r="R59" s="6"/>
      <c r="S59" s="6"/>
      <c r="T59" s="6"/>
      <c r="U59" s="4" t="s">
        <v>61</v>
      </c>
      <c r="V59" s="4" t="str">
        <f xml:space="preserve"> IF(U59="", "", U59&amp;"EI" &amp; COUNTIF($J$3:U59, U59))</f>
        <v/>
      </c>
      <c r="W59" s="1"/>
    </row>
    <row r="60" spans="5:23">
      <c r="I60" s="4" t="s">
        <v>61</v>
      </c>
      <c r="J60" s="4" t="str">
        <f xml:space="preserve"> IF(I60="", "", I60&amp;"EI" &amp; COUNTIF($I$3:I60, I60))</f>
        <v/>
      </c>
      <c r="K60" s="1"/>
      <c r="N60" s="6"/>
      <c r="O60" s="6"/>
      <c r="P60" s="6"/>
      <c r="Q60" s="6"/>
      <c r="R60" s="6"/>
      <c r="S60" s="6"/>
      <c r="T60" s="6"/>
      <c r="U60" s="4" t="s">
        <v>61</v>
      </c>
      <c r="V60" s="4" t="str">
        <f xml:space="preserve"> IF(U60="", "", U60&amp;"EI" &amp; COUNTIF($J$3:U60, U60))</f>
        <v/>
      </c>
      <c r="W60" s="1"/>
    </row>
    <row r="61" spans="5:23">
      <c r="I61" s="4" t="s">
        <v>61</v>
      </c>
      <c r="J61" s="4" t="str">
        <f xml:space="preserve"> IF(I61="", "", I61&amp;"EI" &amp; COUNTIF($I$3:I61, I61))</f>
        <v/>
      </c>
      <c r="K61" s="1"/>
      <c r="N61" s="6"/>
      <c r="O61" s="6"/>
      <c r="P61" s="6"/>
      <c r="Q61" s="6"/>
      <c r="R61" s="6"/>
      <c r="S61" s="6"/>
      <c r="T61" s="6"/>
      <c r="U61" s="4" t="s">
        <v>61</v>
      </c>
      <c r="V61" s="4" t="str">
        <f xml:space="preserve"> IF(U61="", "", U61&amp;"EI" &amp; COUNTIF($J$3:U61, U61))</f>
        <v/>
      </c>
      <c r="W61" s="1"/>
    </row>
    <row r="62" spans="5:23">
      <c r="I62" s="4" t="s">
        <v>61</v>
      </c>
      <c r="J62" s="4" t="str">
        <f xml:space="preserve"> IF(I62="", "", I62&amp;"EI" &amp; COUNTIF($I$3:I62, I62))</f>
        <v/>
      </c>
      <c r="K62" s="1"/>
      <c r="N62" s="6"/>
      <c r="O62" s="6"/>
      <c r="P62" s="6"/>
      <c r="Q62" s="6"/>
      <c r="R62" s="6"/>
      <c r="S62" s="6"/>
      <c r="T62" s="6"/>
      <c r="U62" s="4" t="s">
        <v>61</v>
      </c>
      <c r="V62" s="4" t="str">
        <f xml:space="preserve"> IF(U62="", "", U62&amp;"EI" &amp; COUNTIF($J$3:U62, U62))</f>
        <v/>
      </c>
      <c r="W62" s="1"/>
    </row>
    <row r="63" spans="5:23">
      <c r="I63" s="4" t="s">
        <v>61</v>
      </c>
      <c r="J63" s="4" t="str">
        <f xml:space="preserve"> IF(I63="", "", I63&amp;"EI" &amp; COUNTIF($I$3:I63, I63))</f>
        <v/>
      </c>
      <c r="K63" s="1"/>
      <c r="N63" s="6"/>
      <c r="O63" s="6"/>
      <c r="P63" s="6"/>
      <c r="Q63" s="6"/>
      <c r="R63" s="6"/>
      <c r="S63" s="6"/>
      <c r="T63" s="6"/>
      <c r="U63" s="4" t="s">
        <v>61</v>
      </c>
      <c r="V63" s="4" t="str">
        <f xml:space="preserve"> IF(U63="", "", U63&amp;"EI" &amp; COUNTIF($J$3:U63, U63))</f>
        <v/>
      </c>
      <c r="W63" s="1"/>
    </row>
    <row r="64" spans="5:23">
      <c r="I64" s="4" t="s">
        <v>61</v>
      </c>
      <c r="J64" s="4" t="str">
        <f xml:space="preserve"> IF(I64="", "", I64&amp;"EI" &amp; COUNTIF($I$3:I64, I64))</f>
        <v/>
      </c>
      <c r="K64" s="1"/>
      <c r="N64" s="6"/>
      <c r="O64" s="6"/>
      <c r="P64" s="6"/>
      <c r="Q64" s="6"/>
      <c r="R64" s="6"/>
      <c r="S64" s="6"/>
      <c r="T64" s="6"/>
      <c r="U64" s="4" t="s">
        <v>61</v>
      </c>
      <c r="V64" s="4" t="str">
        <f xml:space="preserve"> IF(U64="", "", U64&amp;"EI" &amp; COUNTIF($J$3:U64, U64))</f>
        <v/>
      </c>
      <c r="W64" s="1"/>
    </row>
    <row r="65" spans="9:23">
      <c r="I65" s="4" t="s">
        <v>61</v>
      </c>
      <c r="J65" s="4" t="str">
        <f xml:space="preserve"> IF(I65="", "", I65&amp;"EI" &amp; COUNTIF($I$3:I65, I65))</f>
        <v/>
      </c>
      <c r="K65" s="1"/>
      <c r="N65" s="6"/>
      <c r="O65" s="6"/>
      <c r="P65" s="6"/>
      <c r="Q65" s="6"/>
      <c r="R65" s="6"/>
      <c r="S65" s="6"/>
      <c r="T65" s="6"/>
      <c r="U65" s="4" t="s">
        <v>61</v>
      </c>
      <c r="V65" s="4" t="str">
        <f xml:space="preserve"> IF(U65="", "", U65&amp;"EI" &amp; COUNTIF($J$3:U65, U65))</f>
        <v/>
      </c>
      <c r="W65" s="1"/>
    </row>
  </sheetData>
  <mergeCells count="6">
    <mergeCell ref="U1:W1"/>
    <mergeCell ref="A1:C1"/>
    <mergeCell ref="E1:G1"/>
    <mergeCell ref="I1:K1"/>
    <mergeCell ref="M1:O1"/>
    <mergeCell ref="Q1:S1"/>
  </mergeCells>
  <dataValidations count="4">
    <dataValidation type="list" allowBlank="1" showInputMessage="1" showErrorMessage="1" sqref="Q3:Q18 U3:U29" xr:uid="{B91273A0-5493-4469-B4FB-74EDD1EB9700}">
      <formula1>$M$3:$M$12</formula1>
    </dataValidation>
    <dataValidation type="list" allowBlank="1" showInputMessage="1" showErrorMessage="1" sqref="U30:U65" xr:uid="{B7F83CB8-9A17-4544-9F51-5C682349930A}">
      <formula1>$G$3:$G$8</formula1>
    </dataValidation>
    <dataValidation type="list" allowBlank="1" showInputMessage="1" showErrorMessage="1" sqref="I21:I65" xr:uid="{6E713580-1FAF-467C-A7B7-AF8358FC321F}">
      <formula1>$F$3:$F$8</formula1>
    </dataValidation>
    <dataValidation type="list" allowBlank="1" showInputMessage="1" showErrorMessage="1" sqref="E3:E51 I3:I20 Q19:Q51" xr:uid="{0ABF3157-FAAA-431C-99F7-D51B114B608C}">
      <formula1>$A$3:$A$12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Leonardo Manrique Hernandez</dc:creator>
  <cp:keywords/>
  <dc:description/>
  <cp:lastModifiedBy>Nicolas Enrique Chibuque Perez</cp:lastModifiedBy>
  <cp:revision/>
  <dcterms:created xsi:type="dcterms:W3CDTF">2025-10-13T22:51:59Z</dcterms:created>
  <dcterms:modified xsi:type="dcterms:W3CDTF">2025-11-18T17:25:12Z</dcterms:modified>
  <cp:category/>
  <cp:contentStatus/>
</cp:coreProperties>
</file>